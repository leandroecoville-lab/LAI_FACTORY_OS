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 de Compra" sheetId="1" state="visible" r:id="rId1"/>
    <sheet xmlns:r="http://schemas.openxmlformats.org/officeDocument/2006/relationships" name="Assumptions_Custo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'Planilha de Compra'!$A$1:$N$47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center"/>
    </xf>
    <xf numFmtId="1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0" applyAlignment="1" pivotButton="0" quotePrefix="0" xfId="0">
      <alignment vertical="center"/>
    </xf>
    <xf numFmtId="0" fontId="2" fillId="0" borderId="0" pivotButton="0" quotePrefix="0" xfId="0"/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ools" displayName="Tools" ref="A1:N47" headerRowCount="1">
  <autoFilter ref="A1:N47"/>
  <tableColumns count="14">
    <tableColumn id="1" name="ToolKey"/>
    <tableColumn id="2" name="Categoria"/>
    <tableColumn id="3" name="Ferramenta"/>
    <tableColumn id="4" name="Prioridade"/>
    <tableColumn id="5" name="Dono"/>
    <tableColumn id="6" name="Quando contratar"/>
    <tableColumn id="7" name="Roda onde"/>
    <tableColumn id="8" name="Acessa HubSpot? (como)"/>
    <tableColumn id="9" name="Unifica info (como)"/>
    <tableColumn id="10" name="Modelo de cobrança"/>
    <tableColumn id="11" name="Custo mensal modelado (USD)"/>
    <tableColumn id="12" name="Custos ocultos / pegadinhas"/>
    <tableColumn id="13" name="Limites no Orquestrador (anti-custo)"/>
    <tableColumn id="14" name="Fonte/Preço/Doc UR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Costs" displayName="Costs" ref="A64:C92" headerRowCount="1">
  <autoFilter ref="A64:C92"/>
  <tableColumns count="3">
    <tableColumn id="1" name="ToolKey"/>
    <tableColumn id="2" name="MonthlyUSD"/>
    <tableColumn id="3" name="Como calcula (resumo)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Inputs" displayName="Inputs" ref="A3:D60" headerRowCount="1">
  <autoFilter ref="A3:D60"/>
  <tableColumns count="4">
    <tableColumn id="1" name="None"/>
    <tableColumn id="2" name="None"/>
    <tableColumn id="3" name="None"/>
    <tableColumn id="4" name="None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36" customWidth="1" min="3" max="3"/>
    <col width="10" customWidth="1" min="4" max="4"/>
    <col width="16" customWidth="1" min="5" max="5"/>
    <col width="14" customWidth="1" min="6" max="6"/>
    <col width="20" customWidth="1" min="7" max="7"/>
    <col width="30" customWidth="1" min="8" max="8"/>
    <col width="26" customWidth="1" min="9" max="9"/>
    <col width="18" customWidth="1" min="10" max="10"/>
    <col width="22" customWidth="1" min="11" max="11"/>
    <col width="34" customWidth="1" min="12" max="12"/>
    <col width="34" customWidth="1" min="13" max="13"/>
    <col width="28" customWidth="1" min="14" max="14"/>
  </cols>
  <sheetData>
    <row r="1">
      <c r="A1" s="1" t="inlineStr">
        <is>
          <t>ToolKey</t>
        </is>
      </c>
      <c r="B1" s="1" t="inlineStr">
        <is>
          <t>Categoria</t>
        </is>
      </c>
      <c r="C1" s="1" t="inlineStr">
        <is>
          <t>Ferramenta</t>
        </is>
      </c>
      <c r="D1" s="1" t="inlineStr">
        <is>
          <t>Prioridade</t>
        </is>
      </c>
      <c r="E1" s="1" t="inlineStr">
        <is>
          <t>Dono</t>
        </is>
      </c>
      <c r="F1" s="1" t="inlineStr">
        <is>
          <t>Quando contratar</t>
        </is>
      </c>
      <c r="G1" s="1" t="inlineStr">
        <is>
          <t>Roda onde</t>
        </is>
      </c>
      <c r="H1" s="1" t="inlineStr">
        <is>
          <t>Acessa HubSpot? (como)</t>
        </is>
      </c>
      <c r="I1" s="1" t="inlineStr">
        <is>
          <t>Unifica info (como)</t>
        </is>
      </c>
      <c r="J1" s="1" t="inlineStr">
        <is>
          <t>Modelo de cobrança</t>
        </is>
      </c>
      <c r="K1" s="1" t="inlineStr">
        <is>
          <t>Custo mensal modelado (USD)</t>
        </is>
      </c>
      <c r="L1" s="1" t="inlineStr">
        <is>
          <t>Custos ocultos / pegadinhas</t>
        </is>
      </c>
      <c r="M1" s="1" t="inlineStr">
        <is>
          <t>Limites no Orquestrador (anti-custo)</t>
        </is>
      </c>
      <c r="N1" s="1" t="inlineStr">
        <is>
          <t>Fonte/Preço/Doc URL</t>
        </is>
      </c>
    </row>
    <row r="2">
      <c r="A2" s="2" t="inlineStr">
        <is>
          <t>lovable_provider_assistido</t>
        </is>
      </c>
      <c r="B2" s="2" t="inlineStr">
        <is>
          <t>Orquestração</t>
        </is>
      </c>
      <c r="C2" s="2" t="inlineStr">
        <is>
          <t>Lovable (provider assistido)</t>
        </is>
      </c>
      <c r="D2" s="2" t="inlineStr">
        <is>
          <t>P1</t>
        </is>
      </c>
      <c r="E2" s="2" t="inlineStr">
        <is>
          <t>Produto/Operação</t>
        </is>
      </c>
      <c r="F2" s="2" t="inlineStr">
        <is>
          <t>Fase 0-1</t>
        </is>
      </c>
      <c r="G2" s="2" t="inlineStr">
        <is>
          <t>SaaS (Lovable) + GitHub Sync</t>
        </is>
      </c>
      <c r="H2" s="2" t="inlineStr">
        <is>
          <t>Não acessa HubSpot; gera app a partir de blueprint/design</t>
        </is>
      </c>
      <c r="I2" s="2" t="inlineStr">
        <is>
          <t>Exporta repo/ZIP -&gt; GitHub -&gt; CI</t>
        </is>
      </c>
      <c r="J2" s="2" t="inlineStr">
        <is>
          <t>Créditos/mês</t>
        </is>
      </c>
      <c r="K2" s="3">
        <f>IFERROR(VLOOKUP(A2,Assumptions_Custos!$A$65:$B$92,2,FALSE),0)</f>
        <v/>
      </c>
      <c r="L2" s="2" t="inlineStr">
        <is>
          <t>Consumo de créditos em iterações; lock-in em secrets/auth se ficar no Lovable Cloud</t>
        </is>
      </c>
      <c r="M2" s="2" t="inlineStr">
        <is>
          <t>Limite de execuções/branch por dia; exigir export GitHub sempre</t>
        </is>
      </c>
      <c r="N2" s="2" t="inlineStr">
        <is>
          <t>https://docs.lovable.dev/introduction/plans-and-credits</t>
        </is>
      </c>
    </row>
    <row r="3">
      <c r="A3" s="2" t="inlineStr">
        <is>
          <t>supabase_postgres_auth_storage_edge</t>
        </is>
      </c>
      <c r="B3" s="2" t="inlineStr">
        <is>
          <t>Backend/Fonte da Verdade</t>
        </is>
      </c>
      <c r="C3" s="2" t="inlineStr">
        <is>
          <t>Supabase (Postgres/Auth/Storage/Edge)</t>
        </is>
      </c>
      <c r="D3" s="2" t="inlineStr">
        <is>
          <t>P0</t>
        </is>
      </c>
      <c r="E3" s="2" t="inlineStr">
        <is>
          <t>Backend/Infra</t>
        </is>
      </c>
      <c r="F3" s="2" t="inlineStr">
        <is>
          <t>Fase 0</t>
        </is>
      </c>
      <c r="G3" s="2" t="inlineStr">
        <is>
          <t>Cloud (Supabase) ou self-host</t>
        </is>
      </c>
      <c r="H3" s="2" t="inlineStr">
        <is>
          <t>Via API oficial/export; não via senha</t>
        </is>
      </c>
      <c r="I3" s="2" t="inlineStr">
        <is>
          <t>DB central + storage + RLS multi-tenant</t>
        </is>
      </c>
      <c r="J3" s="2" t="inlineStr">
        <is>
          <t>Plano + compute + overage</t>
        </is>
      </c>
      <c r="K3" s="3">
        <f>IFERROR(VLOOKUP(A3,Assumptions_Custos!$A$65:$B$92,2,FALSE),0)</f>
        <v/>
      </c>
      <c r="L3" s="2" t="inlineStr">
        <is>
          <t>Compute escala por projeto; overage de MAU/egress; add-ons (PITR, replicas) fora do spend-cap</t>
        </is>
      </c>
      <c r="M3" s="2" t="inlineStr">
        <is>
          <t>Spend cap ON; quotas por tenant; rate-limit Edge Functions</t>
        </is>
      </c>
      <c r="N3" s="2" t="inlineStr">
        <is>
          <t>https://supabase.com/docs/guides/platform/billing-on-supabase</t>
        </is>
      </c>
    </row>
    <row r="4">
      <c r="A4" s="2" t="inlineStr">
        <is>
          <t>temporal_cloud_state_machine_de_runs</t>
        </is>
      </c>
      <c r="B4" s="2" t="inlineStr">
        <is>
          <t>Orquestração</t>
        </is>
      </c>
      <c r="C4" s="2" t="inlineStr">
        <is>
          <t>Temporal Cloud (state machine de runs)</t>
        </is>
      </c>
      <c r="D4" s="2" t="inlineStr">
        <is>
          <t>P0</t>
        </is>
      </c>
      <c r="E4" s="2" t="inlineStr">
        <is>
          <t>Infra/Backend</t>
        </is>
      </c>
      <c r="F4" s="2" t="inlineStr">
        <is>
          <t>Fase 0</t>
        </is>
      </c>
      <c r="G4" s="2" t="inlineStr">
        <is>
          <t>Cloud (AWS marketplace) ou self-host</t>
        </is>
      </c>
      <c r="H4" s="2" t="inlineStr">
        <is>
          <t>Não acessa HubSpot</t>
        </is>
      </c>
      <c r="I4" s="2" t="inlineStr">
        <is>
          <t>Workflow engine: estados, retries, idempotência</t>
        </is>
      </c>
      <c r="J4" s="2" t="inlineStr">
        <is>
          <t>Fee + $/ação</t>
        </is>
      </c>
      <c r="K4" s="3">
        <f>IFERROR(VLOOKUP(A4,Assumptions_Custos!$A$65:$B$92,2,FALSE),0)</f>
        <v/>
      </c>
      <c r="L4" s="2" t="inlineStr">
        <is>
          <t>Ações explodem com retries mal configurados; necessidade de métricas/alertas</t>
        </is>
      </c>
      <c r="M4" s="2" t="inlineStr">
        <is>
          <t>Cap de ações/run; backoff; dead-letter; limites de concorrência</t>
        </is>
      </c>
      <c r="N4" s="2" t="inlineStr">
        <is>
          <t>https://temporal.io/get-cloud/aws-marketplace</t>
        </is>
      </c>
    </row>
    <row r="5">
      <c r="A5" s="2" t="inlineStr">
        <is>
          <t>upstash_redis</t>
        </is>
      </c>
      <c r="B5" s="2" t="inlineStr">
        <is>
          <t>Fila/Jobs</t>
        </is>
      </c>
      <c r="C5" s="2" t="inlineStr">
        <is>
          <t>Upstash Redis</t>
        </is>
      </c>
      <c r="D5" s="2" t="inlineStr">
        <is>
          <t>P1</t>
        </is>
      </c>
      <c r="E5" s="2" t="inlineStr">
        <is>
          <t>Infra</t>
        </is>
      </c>
      <c r="F5" s="2" t="inlineStr">
        <is>
          <t>Fase 0</t>
        </is>
      </c>
      <c r="G5" s="2" t="inlineStr">
        <is>
          <t>Cloud</t>
        </is>
      </c>
      <c r="H5" s="2" t="inlineStr">
        <is>
          <t>Não acessa HubSpot</t>
        </is>
      </c>
      <c r="I5" s="2" t="inlineStr">
        <is>
          <t>Cache/locks/rate-limit; filas simples</t>
        </is>
      </c>
      <c r="J5" s="2" t="inlineStr">
        <is>
          <t>Uso + plano</t>
        </is>
      </c>
      <c r="K5" s="3">
        <f>IFERROR(VLOOKUP(A5,Assumptions_Custos!$A$65:$B$92,2,FALSE),0)</f>
        <v/>
      </c>
      <c r="L5" s="2" t="inlineStr">
        <is>
          <t>Prod Pack caro por DB; custos por multi-região</t>
        </is>
      </c>
      <c r="M5" s="2" t="inlineStr">
        <is>
          <t>Rate-limit global; TTL obrigatório; quotas por tenant</t>
        </is>
      </c>
      <c r="N5" s="2" t="inlineStr">
        <is>
          <t>https://upstash.com/pricing</t>
        </is>
      </c>
    </row>
    <row r="6">
      <c r="A6" s="2" t="inlineStr">
        <is>
          <t>upstash_qstash_webhooks_retries</t>
        </is>
      </c>
      <c r="B6" s="2" t="inlineStr">
        <is>
          <t>Fila/Jobs</t>
        </is>
      </c>
      <c r="C6" s="2" t="inlineStr">
        <is>
          <t>Upstash QStash (webhooks/retries)</t>
        </is>
      </c>
      <c r="D6" s="2" t="inlineStr">
        <is>
          <t>P1</t>
        </is>
      </c>
      <c r="E6" s="2" t="inlineStr">
        <is>
          <t>Infra</t>
        </is>
      </c>
      <c r="F6" s="2" t="inlineStr">
        <is>
          <t>Fase 0</t>
        </is>
      </c>
      <c r="G6" s="2" t="inlineStr">
        <is>
          <t>Cloud</t>
        </is>
      </c>
      <c r="H6" s="2" t="inlineStr">
        <is>
          <t>Não acessa HubSpot</t>
        </is>
      </c>
      <c r="I6" s="2" t="inlineStr">
        <is>
          <t>Entrega eventos + retries; schedules</t>
        </is>
      </c>
      <c r="J6" s="2" t="inlineStr">
        <is>
          <t>$ por mensagens</t>
        </is>
      </c>
      <c r="K6" s="3">
        <f>IFERROR(VLOOKUP(A6,Assumptions_Custos!$A$65:$B$92,2,FALSE),0)</f>
        <v/>
      </c>
      <c r="L6" s="2" t="inlineStr">
        <is>
          <t>Retries contam; custos por burst; Prod Pack +$200</t>
        </is>
      </c>
      <c r="M6" s="2" t="inlineStr">
        <is>
          <t>Cap msgs/dia; DLQ curto; max retry count</t>
        </is>
      </c>
      <c r="N6" s="2" t="inlineStr">
        <is>
          <t>https://upstash.com/pricing/qstash</t>
        </is>
      </c>
    </row>
    <row r="7">
      <c r="A7" s="2" t="inlineStr">
        <is>
          <t>cloudflare_workers_opcional</t>
        </is>
      </c>
      <c r="B7" s="2" t="inlineStr">
        <is>
          <t>Edge/Workers</t>
        </is>
      </c>
      <c r="C7" s="2" t="inlineStr">
        <is>
          <t>Cloudflare Workers (opcional)</t>
        </is>
      </c>
      <c r="D7" s="2" t="inlineStr">
        <is>
          <t>P2</t>
        </is>
      </c>
      <c r="E7" s="2" t="inlineStr">
        <is>
          <t>Infra</t>
        </is>
      </c>
      <c r="F7" s="2" t="inlineStr">
        <is>
          <t>Fase 2</t>
        </is>
      </c>
      <c r="G7" s="2" t="inlineStr">
        <is>
          <t>Edge</t>
        </is>
      </c>
      <c r="H7" s="2" t="inlineStr">
        <is>
          <t>Não acessa HubSpot</t>
        </is>
      </c>
      <c r="I7" s="2" t="inlineStr">
        <is>
          <t>Webhooks/edge proxy/roteamento</t>
        </is>
      </c>
      <c r="J7" s="2" t="inlineStr">
        <is>
          <t>$5 base + uso</t>
        </is>
      </c>
      <c r="K7" s="3">
        <f>IFERROR(VLOOKUP(A7,Assumptions_Custos!$A$65:$B$92,2,FALSE),0)</f>
        <v/>
      </c>
      <c r="L7" s="2" t="inlineStr">
        <is>
          <t>CPU ms pode subir com LLM/chamadas pesadas</t>
        </is>
      </c>
      <c r="M7" s="2" t="inlineStr">
        <is>
          <t>Cap requests/mês; cap CPUms; alertas</t>
        </is>
      </c>
      <c r="N7" s="2" t="inlineStr">
        <is>
          <t>https://developers.cloudflare.com/workers/platform/pricing/</t>
        </is>
      </c>
    </row>
    <row r="8">
      <c r="A8" s="2" t="inlineStr">
        <is>
          <t>flow_recorder</t>
        </is>
      </c>
      <c r="B8" s="2" t="inlineStr">
        <is>
          <t>CAPTURE UI</t>
        </is>
      </c>
      <c r="C8" s="2" t="inlineStr">
        <is>
          <t>Flow Recorder</t>
        </is>
      </c>
      <c r="D8" s="2" t="inlineStr">
        <is>
          <t>P0</t>
        </is>
      </c>
      <c r="E8" s="2" t="inlineStr">
        <is>
          <t>QA/Produto</t>
        </is>
      </c>
      <c r="F8" s="2" t="inlineStr">
        <is>
          <t>Fase 1 (captura)</t>
        </is>
      </c>
      <c r="G8" s="2" t="inlineStr">
        <is>
          <t>Extensão browser</t>
        </is>
      </c>
      <c r="H8" s="2" t="inlineStr">
        <is>
          <t>Usa sessão já logada (não pega senha)</t>
        </is>
      </c>
      <c r="I8" s="2" t="inlineStr">
        <is>
          <t>Exporta sessões/fluxos p/ repositório</t>
        </is>
      </c>
      <c r="J8" s="2" t="inlineStr">
        <is>
          <t>Assinatura (mensal)</t>
        </is>
      </c>
      <c r="K8" s="3">
        <f>IFERROR(VLOOKUP(A8,Assumptions_Custos!$A$65:$B$92,2,FALSE),0)</f>
        <v/>
      </c>
      <c r="L8" s="2" t="inlineStr">
        <is>
          <t>Limites de sessões/playbacks no plano; precisa padronizar naming/escopo</t>
        </is>
      </c>
      <c r="M8" s="2" t="inlineStr">
        <is>
          <t>Limitar captura por fluxo; checklist de cobertura</t>
        </is>
      </c>
      <c r="N8" s="2" t="inlineStr">
        <is>
          <t>https://flowrecorder.com/pricing</t>
        </is>
      </c>
    </row>
    <row r="9">
      <c r="A9" s="2" t="inlineStr">
        <is>
          <t>playwright</t>
        </is>
      </c>
      <c r="B9" s="2" t="inlineStr">
        <is>
          <t>CAPTURE UI</t>
        </is>
      </c>
      <c r="C9" s="2" t="inlineStr">
        <is>
          <t>Playwright</t>
        </is>
      </c>
      <c r="D9" s="2" t="inlineStr">
        <is>
          <t>P0</t>
        </is>
      </c>
      <c r="E9" s="2" t="inlineStr">
        <is>
          <t>QA/Eng</t>
        </is>
      </c>
      <c r="F9" s="2" t="inlineStr">
        <is>
          <t>Fase 1-2</t>
        </is>
      </c>
      <c r="G9" s="2" t="inlineStr">
        <is>
          <t>CI + local</t>
        </is>
      </c>
      <c r="H9" s="2" t="inlineStr">
        <is>
          <t>Pode usar login automatizado ou storageState; não 'quebra' senha</t>
        </is>
      </c>
      <c r="I9" s="2" t="inlineStr">
        <is>
          <t>Scripts versionados no Git</t>
        </is>
      </c>
      <c r="J9" s="2" t="inlineStr">
        <is>
          <t>Open source</t>
        </is>
      </c>
      <c r="K9" s="3">
        <f>IFERROR(VLOOKUP(A9,Assumptions_Custos!$A$65:$B$92,2,FALSE),0)</f>
        <v/>
      </c>
      <c r="L9" s="2" t="inlineStr">
        <is>
          <t>Manutenção de seletores; flakiness; custo de infra CI</t>
        </is>
      </c>
      <c r="M9" s="2" t="inlineStr">
        <is>
          <t>Retry controlado; video/trace só em falha</t>
        </is>
      </c>
      <c r="N9" s="2" t="inlineStr">
        <is>
          <t>https://playwright.dev/</t>
        </is>
      </c>
    </row>
    <row r="10">
      <c r="A10" s="2" t="inlineStr">
        <is>
          <t>chrome_devtools_recorder</t>
        </is>
      </c>
      <c r="B10" s="2" t="inlineStr">
        <is>
          <t>CAPTURE UI</t>
        </is>
      </c>
      <c r="C10" s="2" t="inlineStr">
        <is>
          <t>Chrome DevTools Recorder</t>
        </is>
      </c>
      <c r="D10" s="2" t="inlineStr">
        <is>
          <t>P1</t>
        </is>
      </c>
      <c r="E10" s="2" t="inlineStr">
        <is>
          <t>QA</t>
        </is>
      </c>
      <c r="F10" s="2" t="inlineStr">
        <is>
          <t>Fase 1</t>
        </is>
      </c>
      <c r="G10" s="2" t="inlineStr">
        <is>
          <t>Chrome local</t>
        </is>
      </c>
      <c r="H10" s="2" t="inlineStr">
        <is>
          <t>Sessão logada</t>
        </is>
      </c>
      <c r="I10" s="2" t="inlineStr">
        <is>
          <t>Export JSON -&gt; Playwright/Puppeteer</t>
        </is>
      </c>
      <c r="J10" s="2" t="inlineStr">
        <is>
          <t>Gratuito</t>
        </is>
      </c>
      <c r="K10" s="3">
        <f>IFERROR(VLOOKUP(A10,Assumptions_Custos!$A$65:$B$92,2,FALSE),0)</f>
        <v/>
      </c>
      <c r="L10" s="2" t="inlineStr">
        <is>
          <t>Baixa escalabilidade; gravações 'cruas'</t>
        </is>
      </c>
      <c r="M10" s="2" t="inlineStr">
        <is>
          <t>Uso só para seed; converter p/ Playwright</t>
        </is>
      </c>
      <c r="N10" s="2" t="inlineStr">
        <is>
          <t>https://developer.chrome.com/docs/devtools/recorder/</t>
        </is>
      </c>
    </row>
    <row r="11">
      <c r="A11" s="2" t="inlineStr">
        <is>
          <t>mitmproxy</t>
        </is>
      </c>
      <c r="B11" s="2" t="inlineStr">
        <is>
          <t>CAPTURE HAR/HTTP</t>
        </is>
      </c>
      <c r="C11" s="2" t="inlineStr">
        <is>
          <t>mitmproxy</t>
        </is>
      </c>
      <c r="D11" s="2" t="inlineStr">
        <is>
          <t>P0</t>
        </is>
      </c>
      <c r="E11" s="2" t="inlineStr">
        <is>
          <t>Eng/QA</t>
        </is>
      </c>
      <c r="F11" s="2" t="inlineStr">
        <is>
          <t>Fase 1</t>
        </is>
      </c>
      <c r="G11" s="2" t="inlineStr">
        <is>
          <t>PC técnico/CI</t>
        </is>
      </c>
      <c r="H11" s="2" t="inlineStr">
        <is>
          <t>Captura tráfego do navegador logado; não autentica sozinho</t>
        </is>
      </c>
      <c r="I11" s="2" t="inlineStr">
        <is>
          <t>HAR/flows por fluxo -&gt; storage</t>
        </is>
      </c>
      <c r="J11" s="2" t="inlineStr">
        <is>
          <t>Open source</t>
        </is>
      </c>
      <c r="K11" s="3">
        <f>IFERROR(VLOOKUP(A11,Assumptions_Custos!$A$65:$B$92,2,FALSE),0)</f>
        <v/>
      </c>
      <c r="L11" s="2" t="inlineStr">
        <is>
          <t>HTTPS intercept exige certificado; risco operacional se usar errado</t>
        </is>
      </c>
      <c r="M11" s="2" t="inlineStr">
        <is>
          <t>Capturar só domínios allowlist; mascarar PII</t>
        </is>
      </c>
      <c r="N11" s="2" t="inlineStr">
        <is>
          <t>https://mitmproxy.org/</t>
        </is>
      </c>
    </row>
    <row r="12">
      <c r="A12" s="2" t="inlineStr">
        <is>
          <t>fiddler_everywhere</t>
        </is>
      </c>
      <c r="B12" s="2" t="inlineStr">
        <is>
          <t>CAPTURE HAR/HTTP</t>
        </is>
      </c>
      <c r="C12" s="2" t="inlineStr">
        <is>
          <t>Fiddler Everywhere</t>
        </is>
      </c>
      <c r="D12" s="2" t="inlineStr">
        <is>
          <t>P1</t>
        </is>
      </c>
      <c r="E12" s="2" t="inlineStr">
        <is>
          <t>Eng/QA</t>
        </is>
      </c>
      <c r="F12" s="2" t="inlineStr">
        <is>
          <t>Fase 1</t>
        </is>
      </c>
      <c r="G12" s="2" t="inlineStr">
        <is>
          <t>PC técnico</t>
        </is>
      </c>
      <c r="H12" s="2" t="inlineStr">
        <is>
          <t>Captura tráfego do browser logado; não pega senha</t>
        </is>
      </c>
      <c r="I12" s="2" t="inlineStr">
        <is>
          <t>Export SAZ/HAR</t>
        </is>
      </c>
      <c r="J12" s="2" t="inlineStr">
        <is>
          <t>Por usuário</t>
        </is>
      </c>
      <c r="K12" s="3">
        <f>IFERROR(VLOOKUP(A12,Assumptions_Custos!$A$65:$B$92,2,FALSE),0)</f>
        <v/>
      </c>
      <c r="L12" s="2" t="inlineStr">
        <is>
          <t>Enterprise para captura em máquinas de usuários finais; política/SSO</t>
        </is>
      </c>
      <c r="M12" s="2" t="inlineStr">
        <is>
          <t>Uso só por máquina 'captura'; não em todo PC</t>
        </is>
      </c>
      <c r="N12" s="2" t="inlineStr">
        <is>
          <t>https://www.telerik.com/purchase/fiddler</t>
        </is>
      </c>
    </row>
    <row r="13">
      <c r="A13" s="2" t="inlineStr">
        <is>
          <t>hubspot_apis_oficial_exports</t>
        </is>
      </c>
      <c r="B13" s="2" t="inlineStr">
        <is>
          <t>EXTRACT CONFIG</t>
        </is>
      </c>
      <c r="C13" s="2" t="inlineStr">
        <is>
          <t>HubSpot APIs (oficial) + Exports</t>
        </is>
      </c>
      <c r="D13" s="2" t="inlineStr">
        <is>
          <t>P0</t>
        </is>
      </c>
      <c r="E13" s="2" t="inlineStr">
        <is>
          <t>Eng/Data</t>
        </is>
      </c>
      <c r="F13" s="2" t="inlineStr">
        <is>
          <t>Fase 1</t>
        </is>
      </c>
      <c r="G13" s="2" t="inlineStr">
        <is>
          <t>Server/CI</t>
        </is>
      </c>
      <c r="H13" s="2" t="inlineStr">
        <is>
          <t>OAuth/token oficial</t>
        </is>
      </c>
      <c r="I13" s="2" t="inlineStr">
        <is>
          <t>Dump de objetos/pipelines/propriedades/RBAC (o que for exposto)</t>
        </is>
      </c>
      <c r="J13" s="2" t="inlineStr">
        <is>
          <t>Depende do plano HubSpot</t>
        </is>
      </c>
      <c r="K13" s="3">
        <f>IFERROR(VLOOKUP(A13,Assumptions_Custos!$A$65:$B$92,2,FALSE),0)</f>
        <v/>
      </c>
      <c r="L13" s="2" t="inlineStr">
        <is>
          <t>Limitações ToS/escopo; rate limits; nem tudo é exposto</t>
        </is>
      </c>
      <c r="M13" s="2" t="inlineStr">
        <is>
          <t>Backoff e cache; jobs incrementais; audit log</t>
        </is>
      </c>
      <c r="N13" s="2" t="inlineStr">
        <is>
          <t>https://developers.hubspot.com/</t>
        </is>
      </c>
    </row>
    <row r="14">
      <c r="A14" s="2" t="inlineStr">
        <is>
          <t>apify_scraping_de_docs_ui_p_blica</t>
        </is>
      </c>
      <c r="B14" s="2" t="inlineStr">
        <is>
          <t>Scraping estruturado</t>
        </is>
      </c>
      <c r="C14" s="2" t="inlineStr">
        <is>
          <t>Apify (scraping de docs/UI pública)</t>
        </is>
      </c>
      <c r="D14" s="2" t="inlineStr">
        <is>
          <t>P2</t>
        </is>
      </c>
      <c r="E14" s="2" t="inlineStr">
        <is>
          <t>Eng</t>
        </is>
      </c>
      <c r="F14" s="2" t="inlineStr">
        <is>
          <t>Fase 1-2</t>
        </is>
      </c>
      <c r="G14" s="2" t="inlineStr">
        <is>
          <t>Cloud</t>
        </is>
      </c>
      <c r="H14" s="2" t="inlineStr">
        <is>
          <t>Não (só o que for público/permitido)</t>
        </is>
      </c>
      <c r="I14" s="2" t="inlineStr">
        <is>
          <t>Dataset versionado</t>
        </is>
      </c>
      <c r="J14" s="2" t="inlineStr">
        <is>
          <t>Plano + compute</t>
        </is>
      </c>
      <c r="K14" s="3">
        <f>IFERROR(VLOOKUP(A14,Assumptions_Custos!$A$65:$B$92,2,FALSE),0)</f>
        <v/>
      </c>
      <c r="L14" s="2" t="inlineStr">
        <is>
          <t>Proxies/residencial $/GB; manutenção de actors</t>
        </is>
      </c>
      <c r="M14" s="2" t="inlineStr">
        <is>
          <t>Bloquear domínios proibidos; limite de CU/dia</t>
        </is>
      </c>
      <c r="N14" s="2" t="inlineStr">
        <is>
          <t>https://apify.com/pricing</t>
        </is>
      </c>
    </row>
    <row r="15">
      <c r="A15" s="2" t="inlineStr">
        <is>
          <t>stoplight_openapi_contract_first</t>
        </is>
      </c>
      <c r="B15" s="2" t="inlineStr">
        <is>
          <t>Contrato API</t>
        </is>
      </c>
      <c r="C15" s="2" t="inlineStr">
        <is>
          <t>Stoplight (OpenAPI contract-first)</t>
        </is>
      </c>
      <c r="D15" s="2" t="inlineStr">
        <is>
          <t>P0</t>
        </is>
      </c>
      <c r="E15" s="2" t="inlineStr">
        <is>
          <t>Eng/API</t>
        </is>
      </c>
      <c r="F15" s="2" t="inlineStr">
        <is>
          <t>Fase 2</t>
        </is>
      </c>
      <c r="G15" s="2" t="inlineStr">
        <is>
          <t>Cloud + repo</t>
        </is>
      </c>
      <c r="H15" s="2" t="inlineStr">
        <is>
          <t>Não</t>
        </is>
      </c>
      <c r="I15" s="2" t="inlineStr">
        <is>
          <t>OpenAPI versionado + mocks</t>
        </is>
      </c>
      <c r="J15" s="2" t="inlineStr">
        <is>
          <t>Plano workspace + usuários</t>
        </is>
      </c>
      <c r="K15" s="3">
        <f>IFERROR(VLOOKUP(A15,Assumptions_Custos!$A$65:$B$92,2,FALSE),0)</f>
        <v/>
      </c>
      <c r="L15" s="2" t="inlineStr">
        <is>
          <t>Custo por usuários extra; governança; migração de specs</t>
        </is>
      </c>
      <c r="M15" s="2" t="inlineStr">
        <is>
          <t>PR required; lint Spectral gate</t>
        </is>
      </c>
      <c r="N15" s="2" t="inlineStr">
        <is>
          <t>https://stoplight.io/pricing</t>
        </is>
      </c>
    </row>
    <row r="16">
      <c r="A16" s="2" t="inlineStr">
        <is>
          <t>postman_cole_es_schema</t>
        </is>
      </c>
      <c r="B16" s="2" t="inlineStr">
        <is>
          <t>Contrato API</t>
        </is>
      </c>
      <c r="C16" s="2" t="inlineStr">
        <is>
          <t>Postman (coleções + schema)</t>
        </is>
      </c>
      <c r="D16" s="2" t="inlineStr">
        <is>
          <t>P1</t>
        </is>
      </c>
      <c r="E16" s="2" t="inlineStr">
        <is>
          <t>Eng/API</t>
        </is>
      </c>
      <c r="F16" s="2" t="inlineStr">
        <is>
          <t>Fase 1-2</t>
        </is>
      </c>
      <c r="G16" s="2" t="inlineStr">
        <is>
          <t>Desktop + Cloud workspace</t>
        </is>
      </c>
      <c r="H16" s="2" t="inlineStr">
        <is>
          <t>Não direto; usa endpoints capturados/oficiais</t>
        </is>
      </c>
      <c r="I16" s="2" t="inlineStr">
        <is>
          <t>Coleções-&gt;OpenAPI export</t>
        </is>
      </c>
      <c r="J16" s="2" t="inlineStr">
        <is>
          <t>Por usuário</t>
        </is>
      </c>
      <c r="K16" s="3">
        <f>IFERROR(VLOOKUP(A16,Assumptions_Custos!$A$65:$B$92,2,FALSE),0)</f>
        <v/>
      </c>
      <c r="L16" s="2" t="inlineStr">
        <is>
          <t>Limites de runs/monitors; add-on AI; governança/SSO em enterprise</t>
        </is>
      </c>
      <c r="M16" s="2" t="inlineStr">
        <is>
          <t>Limitar runs automáticos; versionar no Git</t>
        </is>
      </c>
      <c r="N16" s="2" t="inlineStr">
        <is>
          <t>https://www.postman.com/team</t>
        </is>
      </c>
    </row>
    <row r="17">
      <c r="A17" s="2" t="inlineStr">
        <is>
          <t>openapi_generator</t>
        </is>
      </c>
      <c r="B17" s="2" t="inlineStr">
        <is>
          <t>Contrato API</t>
        </is>
      </c>
      <c r="C17" s="2" t="inlineStr">
        <is>
          <t>OpenAPI Generator</t>
        </is>
      </c>
      <c r="D17" s="2" t="inlineStr">
        <is>
          <t>P0</t>
        </is>
      </c>
      <c r="E17" s="2" t="inlineStr">
        <is>
          <t>Eng</t>
        </is>
      </c>
      <c r="F17" s="2" t="inlineStr">
        <is>
          <t>Fase 2-3</t>
        </is>
      </c>
      <c r="G17" s="2" t="inlineStr">
        <is>
          <t>CI</t>
        </is>
      </c>
      <c r="H17" s="2" t="inlineStr">
        <is>
          <t>Não</t>
        </is>
      </c>
      <c r="I17" s="2" t="inlineStr">
        <is>
          <t>Gera SDK/stubs front/back</t>
        </is>
      </c>
      <c r="J17" s="2" t="inlineStr">
        <is>
          <t>Open source</t>
        </is>
      </c>
      <c r="K17" s="3">
        <f>IFERROR(VLOOKUP(A17,Assumptions_Custos!$A$65:$B$92,2,FALSE),0)</f>
        <v/>
      </c>
      <c r="L17" s="2" t="inlineStr">
        <is>
          <t>Qualidade depende do spec; custom templates</t>
        </is>
      </c>
      <c r="M17" s="2" t="inlineStr">
        <is>
          <t>Gerar sempre via CI; diffs controlados</t>
        </is>
      </c>
      <c r="N17" s="2" t="inlineStr">
        <is>
          <t>https://openapi-generator.tech/</t>
        </is>
      </c>
    </row>
    <row r="18">
      <c r="A18" s="2" t="inlineStr">
        <is>
          <t>spectral_lint_openapi</t>
        </is>
      </c>
      <c r="B18" s="2" t="inlineStr">
        <is>
          <t>Contrato API</t>
        </is>
      </c>
      <c r="C18" s="2" t="inlineStr">
        <is>
          <t>Spectral (lint OpenAPI)</t>
        </is>
      </c>
      <c r="D18" s="2" t="inlineStr">
        <is>
          <t>P0</t>
        </is>
      </c>
      <c r="E18" s="2" t="inlineStr">
        <is>
          <t>Eng/API</t>
        </is>
      </c>
      <c r="F18" s="2" t="inlineStr">
        <is>
          <t>Fase 2</t>
        </is>
      </c>
      <c r="G18" s="2" t="inlineStr">
        <is>
          <t>CI</t>
        </is>
      </c>
      <c r="H18" s="2" t="inlineStr">
        <is>
          <t>Não</t>
        </is>
      </c>
      <c r="I18" s="2" t="inlineStr">
        <is>
          <t>Gate de consistência</t>
        </is>
      </c>
      <c r="J18" s="2" t="inlineStr">
        <is>
          <t>Open source</t>
        </is>
      </c>
      <c r="K18" s="3">
        <f>IFERROR(VLOOKUP(A18,Assumptions_Custos!$A$65:$B$92,2,FALSE),0)</f>
        <v/>
      </c>
      <c r="L18" s="2" t="inlineStr">
        <is>
          <t>Regras mal definidas travam time</t>
        </is>
      </c>
      <c r="M18" s="2" t="inlineStr">
        <is>
          <t>Baseline -&gt; tighten progressivo</t>
        </is>
      </c>
      <c r="N18" s="2" t="inlineStr">
        <is>
          <t>https://github.com/stoplightio/spectral</t>
        </is>
      </c>
    </row>
    <row r="19">
      <c r="A19" s="2" t="inlineStr">
        <is>
          <t>openapi_diff_breaking_changes</t>
        </is>
      </c>
      <c r="B19" s="2" t="inlineStr">
        <is>
          <t>Contrato API</t>
        </is>
      </c>
      <c r="C19" s="2" t="inlineStr">
        <is>
          <t>openapi-diff (breaking changes)</t>
        </is>
      </c>
      <c r="D19" s="2" t="inlineStr">
        <is>
          <t>P0</t>
        </is>
      </c>
      <c r="E19" s="2" t="inlineStr">
        <is>
          <t>Eng/API</t>
        </is>
      </c>
      <c r="F19" s="2" t="inlineStr">
        <is>
          <t>Fase 2</t>
        </is>
      </c>
      <c r="G19" s="2" t="inlineStr">
        <is>
          <t>CI</t>
        </is>
      </c>
      <c r="H19" s="2" t="inlineStr">
        <is>
          <t>Não</t>
        </is>
      </c>
      <c r="I19" s="2" t="inlineStr">
        <is>
          <t>Gate de compatibilidade de contrato</t>
        </is>
      </c>
      <c r="J19" s="2" t="inlineStr">
        <is>
          <t>Open source</t>
        </is>
      </c>
      <c r="K19" s="3">
        <f>IFERROR(VLOOKUP(A19,Assumptions_Custos!$A$65:$B$92,2,FALSE),0)</f>
        <v/>
      </c>
      <c r="L19" s="2" t="inlineStr">
        <is>
          <t>Falsos positivos em renames</t>
        </is>
      </c>
      <c r="M19" s="2" t="inlineStr">
        <is>
          <t>Política de versioning semântica</t>
        </is>
      </c>
      <c r="N19" s="2" t="inlineStr">
        <is>
          <t>https://github.com/OpenAPITools/openapi-diff</t>
        </is>
      </c>
    </row>
    <row r="20">
      <c r="A20" s="2" t="inlineStr">
        <is>
          <t>schemathesis</t>
        </is>
      </c>
      <c r="B20" s="2" t="inlineStr">
        <is>
          <t>Fuzz/Contract test</t>
        </is>
      </c>
      <c r="C20" s="2" t="inlineStr">
        <is>
          <t>Schemathesis</t>
        </is>
      </c>
      <c r="D20" s="2" t="inlineStr">
        <is>
          <t>P1</t>
        </is>
      </c>
      <c r="E20" s="2" t="inlineStr">
        <is>
          <t>QA/Eng</t>
        </is>
      </c>
      <c r="F20" s="2" t="inlineStr">
        <is>
          <t>Fase 3-4</t>
        </is>
      </c>
      <c r="G20" s="2" t="inlineStr">
        <is>
          <t>CI</t>
        </is>
      </c>
      <c r="H20" s="2" t="inlineStr">
        <is>
          <t>Não</t>
        </is>
      </c>
      <c r="I20" s="2" t="inlineStr">
        <is>
          <t>Testa API contra OpenAPI</t>
        </is>
      </c>
      <c r="J20" s="2" t="inlineStr">
        <is>
          <t>Open source</t>
        </is>
      </c>
      <c r="K20" s="3">
        <f>IFERROR(VLOOKUP(A20,Assumptions_Custos!$A$65:$B$92,2,FALSE),0)</f>
        <v/>
      </c>
      <c r="L20" s="2" t="inlineStr">
        <is>
          <t>Pode gerar carga; precisa limites</t>
        </is>
      </c>
      <c r="M20" s="2" t="inlineStr">
        <is>
          <t>Cap casos; throttle; só em staging</t>
        </is>
      </c>
      <c r="N20" s="2" t="inlineStr">
        <is>
          <t>https://schemathesis.readthedocs.io/</t>
        </is>
      </c>
    </row>
    <row r="21">
      <c r="A21" s="2" t="inlineStr">
        <is>
          <t>xstate</t>
        </is>
      </c>
      <c r="B21" s="2" t="inlineStr">
        <is>
          <t>State Machines UI</t>
        </is>
      </c>
      <c r="C21" s="2" t="inlineStr">
        <is>
          <t>XState</t>
        </is>
      </c>
      <c r="D21" s="2" t="inlineStr">
        <is>
          <t>P0</t>
        </is>
      </c>
      <c r="E21" s="2" t="inlineStr">
        <is>
          <t>Frontend</t>
        </is>
      </c>
      <c r="F21" s="2" t="inlineStr">
        <is>
          <t>Fase 2</t>
        </is>
      </c>
      <c r="G21" s="2" t="inlineStr">
        <is>
          <t>App</t>
        </is>
      </c>
      <c r="H21" s="2" t="inlineStr">
        <is>
          <t>Não</t>
        </is>
      </c>
      <c r="I21" s="2" t="inlineStr">
        <is>
          <t>Modela estado por tela/fluxo</t>
        </is>
      </c>
      <c r="J21" s="2" t="inlineStr">
        <is>
          <t>Open source</t>
        </is>
      </c>
      <c r="K21" s="3">
        <f>IFERROR(VLOOKUP(A21,Assumptions_Custos!$A$65:$B$92,2,FALSE),0)</f>
        <v/>
      </c>
      <c r="L21" s="2" t="inlineStr">
        <is>
          <t>Curva de aprendizado</t>
        </is>
      </c>
      <c r="M21" s="2" t="inlineStr">
        <is>
          <t>Exigir diagrama + testes por máquina</t>
        </is>
      </c>
      <c r="N21" s="2" t="inlineStr">
        <is>
          <t>https://xstate.js.org/</t>
        </is>
      </c>
    </row>
    <row r="22">
      <c r="A22" s="2" t="inlineStr">
        <is>
          <t>chromatic_storybook_visual_diff</t>
        </is>
      </c>
      <c r="B22" s="2" t="inlineStr">
        <is>
          <t>Parity Gate (visual)</t>
        </is>
      </c>
      <c r="C22" s="2" t="inlineStr">
        <is>
          <t>Chromatic (Storybook visual diff)</t>
        </is>
      </c>
      <c r="D22" s="2" t="inlineStr">
        <is>
          <t>P1</t>
        </is>
      </c>
      <c r="E22" s="2" t="inlineStr">
        <is>
          <t>QA/Frontend</t>
        </is>
      </c>
      <c r="F22" s="2" t="inlineStr">
        <is>
          <t>Fase 4</t>
        </is>
      </c>
      <c r="G22" s="2" t="inlineStr">
        <is>
          <t>Cloud + CI</t>
        </is>
      </c>
      <c r="H22" s="2" t="inlineStr">
        <is>
          <t>Não</t>
        </is>
      </c>
      <c r="I22" s="2" t="inlineStr">
        <is>
          <t>Snapshots por componente</t>
        </is>
      </c>
      <c r="J22" s="2" t="inlineStr">
        <is>
          <t>Mensal por snapshots</t>
        </is>
      </c>
      <c r="K22" s="3">
        <f>IFERROR(VLOOKUP(A22,Assumptions_Custos!$A$65:$B$92,2,FALSE),0)</f>
        <v/>
      </c>
      <c r="L22" s="2" t="inlineStr">
        <is>
          <t>Overage $0.008/snapshot; snapshots explodem se Storybook mal granular</t>
        </is>
      </c>
      <c r="M22" s="2" t="inlineStr">
        <is>
          <t>TurboSnap on; cap snapshots/build</t>
        </is>
      </c>
      <c r="N22" s="2" t="inlineStr">
        <is>
          <t>https://www.chromatic.com/pricing</t>
        </is>
      </c>
    </row>
    <row r="23">
      <c r="A23" s="2" t="inlineStr">
        <is>
          <t>applitools_visual_ai</t>
        </is>
      </c>
      <c r="B23" s="2" t="inlineStr">
        <is>
          <t>Parity Gate (visual)</t>
        </is>
      </c>
      <c r="C23" s="2" t="inlineStr">
        <is>
          <t>Applitools (visual AI)</t>
        </is>
      </c>
      <c r="D23" s="2" t="inlineStr">
        <is>
          <t>P2</t>
        </is>
      </c>
      <c r="E23" s="2" t="inlineStr">
        <is>
          <t>QA</t>
        </is>
      </c>
      <c r="F23" s="2" t="inlineStr">
        <is>
          <t>Fase 4 (hardcore)</t>
        </is>
      </c>
      <c r="G23" s="2" t="inlineStr">
        <is>
          <t>Cloud</t>
        </is>
      </c>
      <c r="H23" s="2" t="inlineStr">
        <is>
          <t>Não</t>
        </is>
      </c>
      <c r="I23" s="2" t="inlineStr">
        <is>
          <t>Visual diff robusto cross-browser</t>
        </is>
      </c>
      <c r="J23" s="2" t="inlineStr">
        <is>
          <t>Contrato anual</t>
        </is>
      </c>
      <c r="K23" s="3">
        <f>IFERROR(VLOOKUP(A23,Assumptions_Custos!$A$65:$B$92,2,FALSE),0)</f>
        <v/>
      </c>
      <c r="L23" s="2" t="inlineStr">
        <is>
          <t>Compromisso anual; TU/pages; add-ons p/ grid</t>
        </is>
      </c>
      <c r="M23" s="2" t="inlineStr">
        <is>
          <t>Rodar só suites críticas; baseline governance</t>
        </is>
      </c>
      <c r="N23" s="2" t="inlineStr">
        <is>
          <t>https://applitools.com/platform-pricing/</t>
        </is>
      </c>
    </row>
    <row r="24">
      <c r="A24" s="2" t="inlineStr">
        <is>
          <t>percy_browserstack</t>
        </is>
      </c>
      <c r="B24" s="2" t="inlineStr">
        <is>
          <t>Parity Gate (visual)</t>
        </is>
      </c>
      <c r="C24" s="2" t="inlineStr">
        <is>
          <t>Percy (BrowserStack)</t>
        </is>
      </c>
      <c r="D24" s="2" t="inlineStr">
        <is>
          <t>P2</t>
        </is>
      </c>
      <c r="E24" s="2" t="inlineStr">
        <is>
          <t>QA</t>
        </is>
      </c>
      <c r="F24" s="2" t="inlineStr">
        <is>
          <t>Fase 4</t>
        </is>
      </c>
      <c r="G24" s="2" t="inlineStr">
        <is>
          <t>Cloud</t>
        </is>
      </c>
      <c r="H24" s="2" t="inlineStr">
        <is>
          <t>Não</t>
        </is>
      </c>
      <c r="I24" s="2" t="inlineStr">
        <is>
          <t>Screenshot diffs</t>
        </is>
      </c>
      <c r="J24" s="2" t="inlineStr">
        <is>
          <t>Plano por screenshots</t>
        </is>
      </c>
      <c r="K24" s="3">
        <f>IFERROR(VLOOKUP(A24,Assumptions_Custos!$A$65:$B$92,2,FALSE),0)</f>
        <v/>
      </c>
      <c r="L24" s="2" t="inlineStr">
        <is>
          <t>Plano Team começa alto; snapshots contam em PRs</t>
        </is>
      </c>
      <c r="M24" s="2" t="inlineStr">
        <is>
          <t>Cap screenshots/PR; rodar nightly</t>
        </is>
      </c>
      <c r="N24" s="2" t="inlineStr">
        <is>
          <t>https://www.browserstack.com/support/faq/plans-pricing/plans/what-do-i-get-with-a-free-trial</t>
        </is>
      </c>
    </row>
    <row r="25">
      <c r="A25" s="2" t="inlineStr">
        <is>
          <t>browserstack_automate</t>
        </is>
      </c>
      <c r="B25" s="2" t="inlineStr">
        <is>
          <t>Parity Gate (cross-browser)</t>
        </is>
      </c>
      <c r="C25" s="2" t="inlineStr">
        <is>
          <t>BrowserStack Automate</t>
        </is>
      </c>
      <c r="D25" s="2" t="inlineStr">
        <is>
          <t>P2</t>
        </is>
      </c>
      <c r="E25" s="2" t="inlineStr">
        <is>
          <t>QA</t>
        </is>
      </c>
      <c r="F25" s="2" t="inlineStr">
        <is>
          <t>Fase 4</t>
        </is>
      </c>
      <c r="G25" s="2" t="inlineStr">
        <is>
          <t>Cloud device grid</t>
        </is>
      </c>
      <c r="H25" s="2" t="inlineStr">
        <is>
          <t>Não</t>
        </is>
      </c>
      <c r="I25" s="2" t="inlineStr">
        <is>
          <t>Executa Playwright/Selenium em browsers reais</t>
        </is>
      </c>
      <c r="J25" s="2" t="inlineStr">
        <is>
          <t>Paralelos</t>
        </is>
      </c>
      <c r="K25" s="3">
        <f>IFERROR(VLOOKUP(A25,Assumptions_Custos!$A$65:$B$92,2,FALSE),0)</f>
        <v/>
      </c>
      <c r="L25" s="2" t="inlineStr">
        <is>
          <t>Custo escala linear com paralelos</t>
        </is>
      </c>
      <c r="M25" s="2" t="inlineStr">
        <is>
          <t>1 paralelo no início; fila; rodar só PR merge</t>
        </is>
      </c>
      <c r="N25" s="2" t="inlineStr">
        <is>
          <t>https://www.browserstack.com/support/faq/plans-pricing/plans/what-do-i-get-with-a-free-trial</t>
        </is>
      </c>
    </row>
    <row r="26">
      <c r="A26" s="2" t="inlineStr">
        <is>
          <t>github_team</t>
        </is>
      </c>
      <c r="B26" s="2" t="inlineStr">
        <is>
          <t>CI/CD</t>
        </is>
      </c>
      <c r="C26" s="2" t="inlineStr">
        <is>
          <t>GitHub (Team)</t>
        </is>
      </c>
      <c r="D26" s="2" t="inlineStr">
        <is>
          <t>P0</t>
        </is>
      </c>
      <c r="E26" s="2" t="inlineStr">
        <is>
          <t>Eng</t>
        </is>
      </c>
      <c r="F26" s="2" t="inlineStr">
        <is>
          <t>Fase 0</t>
        </is>
      </c>
      <c r="G26" s="2" t="inlineStr">
        <is>
          <t>Cloud</t>
        </is>
      </c>
      <c r="H26" s="2" t="inlineStr">
        <is>
          <t>Não</t>
        </is>
      </c>
      <c r="I26" s="2" t="inlineStr">
        <is>
          <t>Repo + PR gates + Actions</t>
        </is>
      </c>
      <c r="J26" s="2" t="inlineStr">
        <is>
          <t>$ por assento</t>
        </is>
      </c>
      <c r="K26" s="3">
        <f>IFERROR(VLOOKUP(A26,Assumptions_Custos!$A$65:$B$92,2,FALSE),0)</f>
        <v/>
      </c>
      <c r="L26" s="2" t="inlineStr">
        <is>
          <t>Actions minutos/armazenamento; add-ons security/copilot</t>
        </is>
      </c>
      <c r="M26" s="2" t="inlineStr">
        <is>
          <t>Limite de workflows; cancel-in-progress</t>
        </is>
      </c>
      <c r="N26" s="2" t="inlineStr">
        <is>
          <t>https://github.com/pricing</t>
        </is>
      </c>
    </row>
    <row r="27">
      <c r="A27" s="2" t="inlineStr">
        <is>
          <t>github_actions_minutos</t>
        </is>
      </c>
      <c r="B27" s="2" t="inlineStr">
        <is>
          <t>CI/CD</t>
        </is>
      </c>
      <c r="C27" s="2" t="inlineStr">
        <is>
          <t>GitHub Actions (minutos)</t>
        </is>
      </c>
      <c r="D27" s="2" t="inlineStr">
        <is>
          <t>P0</t>
        </is>
      </c>
      <c r="E27" s="2" t="inlineStr">
        <is>
          <t>Eng</t>
        </is>
      </c>
      <c r="F27" s="2" t="inlineStr">
        <is>
          <t>Fase 0</t>
        </is>
      </c>
      <c r="G27" s="2" t="inlineStr">
        <is>
          <t>Cloud runners ou self-host</t>
        </is>
      </c>
      <c r="H27" s="2" t="inlineStr">
        <is>
          <t>Não</t>
        </is>
      </c>
      <c r="I27" s="2" t="inlineStr">
        <is>
          <t>Executa packs/gates</t>
        </is>
      </c>
      <c r="J27" s="2" t="inlineStr">
        <is>
          <t>$ por minuto</t>
        </is>
      </c>
      <c r="K27" s="3">
        <f>IFERROR(VLOOKUP(A27,Assumptions_Custos!$A$65:$B$92,2,FALSE),0)</f>
        <v/>
      </c>
      <c r="L27" s="2" t="inlineStr">
        <is>
          <t>Self-host pode ter taxa futura; grandes runners caros</t>
        </is>
      </c>
      <c r="M27" s="2" t="inlineStr">
        <is>
          <t>Cap minutos/mês; usar cache; matrix control</t>
        </is>
      </c>
      <c r="N27" s="2" t="inlineStr">
        <is>
          <t>https://docs.github.com/en/billing/managing-billing-for-github-actions/about-billing-for-github-actions</t>
        </is>
      </c>
    </row>
    <row r="28">
      <c r="A28" s="2" t="inlineStr">
        <is>
          <t>github_secret_protection</t>
        </is>
      </c>
      <c r="B28" s="2" t="inlineStr">
        <is>
          <t>Segurança CI</t>
        </is>
      </c>
      <c r="C28" s="2" t="inlineStr">
        <is>
          <t>GitHub Secret Protection</t>
        </is>
      </c>
      <c r="D28" s="2" t="inlineStr">
        <is>
          <t>P1</t>
        </is>
      </c>
      <c r="E28" s="2" t="inlineStr">
        <is>
          <t>Security</t>
        </is>
      </c>
      <c r="F28" s="2" t="inlineStr">
        <is>
          <t>Fase 0</t>
        </is>
      </c>
      <c r="G28" s="2" t="inlineStr">
        <is>
          <t>GitHub</t>
        </is>
      </c>
      <c r="H28" s="2" t="inlineStr">
        <is>
          <t>Não</t>
        </is>
      </c>
      <c r="I28" s="2" t="inlineStr">
        <is>
          <t>Push protection/secret scanning</t>
        </is>
      </c>
      <c r="J28" s="2" t="inlineStr">
        <is>
          <t>$19/active committer</t>
        </is>
      </c>
      <c r="K28" s="3">
        <f>IFERROR(VLOOKUP(A28,Assumptions_Custos!$A$65:$B$92,2,FALSE),0)</f>
        <v/>
      </c>
      <c r="L28" s="2" t="inlineStr">
        <is>
          <t>Cobra por committer ativo; precisa definir quem é 'committer'</t>
        </is>
      </c>
      <c r="M28" s="2" t="inlineStr">
        <is>
          <t>Proteger branches; bloquear bypass</t>
        </is>
      </c>
      <c r="N28" s="2" t="inlineStr">
        <is>
          <t>https://github.com/security/advanced-security</t>
        </is>
      </c>
    </row>
    <row r="29">
      <c r="A29" s="2" t="inlineStr">
        <is>
          <t>github_code_security</t>
        </is>
      </c>
      <c r="B29" s="2" t="inlineStr">
        <is>
          <t>Segurança CI</t>
        </is>
      </c>
      <c r="C29" s="2" t="inlineStr">
        <is>
          <t>GitHub Code Security</t>
        </is>
      </c>
      <c r="D29" s="2" t="inlineStr">
        <is>
          <t>P2</t>
        </is>
      </c>
      <c r="E29" s="2" t="inlineStr">
        <is>
          <t>Security</t>
        </is>
      </c>
      <c r="F29" s="2" t="inlineStr">
        <is>
          <t>Fase 2</t>
        </is>
      </c>
      <c r="G29" s="2" t="inlineStr">
        <is>
          <t>GitHub</t>
        </is>
      </c>
      <c r="H29" s="2" t="inlineStr">
        <is>
          <t>Não</t>
        </is>
      </c>
      <c r="I29" s="2" t="inlineStr">
        <is>
          <t>CodeQL + dependabot advanced</t>
        </is>
      </c>
      <c r="J29" s="2" t="inlineStr">
        <is>
          <t>$30/active committer</t>
        </is>
      </c>
      <c r="K29" s="3">
        <f>IFERROR(VLOOKUP(A29,Assumptions_Custos!$A$65:$B$92,2,FALSE),0)</f>
        <v/>
      </c>
      <c r="L29" s="2" t="inlineStr">
        <is>
          <t>Cobra por committer; tuning para reduzir ruído</t>
        </is>
      </c>
      <c r="M29" s="2" t="inlineStr">
        <is>
          <t>Rodar nightly; baseline</t>
        </is>
      </c>
      <c r="N29" s="2" t="inlineStr">
        <is>
          <t>https://github.com/security/advanced-security</t>
        </is>
      </c>
    </row>
    <row r="30">
      <c r="A30" s="2" t="inlineStr">
        <is>
          <t>semgrep_sast</t>
        </is>
      </c>
      <c r="B30" s="2" t="inlineStr">
        <is>
          <t>Segurança CI</t>
        </is>
      </c>
      <c r="C30" s="2" t="inlineStr">
        <is>
          <t>Semgrep (SAST)</t>
        </is>
      </c>
      <c r="D30" s="2" t="inlineStr">
        <is>
          <t>P1</t>
        </is>
      </c>
      <c r="E30" s="2" t="inlineStr">
        <is>
          <t>Security</t>
        </is>
      </c>
      <c r="F30" s="2" t="inlineStr">
        <is>
          <t>Fase 2</t>
        </is>
      </c>
      <c r="G30" s="2" t="inlineStr">
        <is>
          <t>CI</t>
        </is>
      </c>
      <c r="H30" s="2" t="inlineStr">
        <is>
          <t>Não</t>
        </is>
      </c>
      <c r="I30" s="2" t="inlineStr">
        <is>
          <t>SAST + regras</t>
        </is>
      </c>
      <c r="J30" s="2" t="inlineStr">
        <is>
          <t>$ por contributor</t>
        </is>
      </c>
      <c r="K30" s="3">
        <f>IFERROR(VLOOKUP(A30,Assumptions_Custos!$A$65:$B$92,2,FALSE),0)</f>
        <v/>
      </c>
      <c r="L30" s="2" t="inlineStr">
        <is>
          <t>Custo por módulo (SAST/SCA/Secrets)</t>
        </is>
      </c>
      <c r="M30" s="2" t="inlineStr">
        <is>
          <t>Cap scans; ignore rules com justificativa</t>
        </is>
      </c>
      <c r="N30" s="2" t="inlineStr">
        <is>
          <t>https://semgrep.dev/pricing</t>
        </is>
      </c>
    </row>
    <row r="31">
      <c r="A31" s="2" t="inlineStr">
        <is>
          <t>snyk_sca_sast_iac</t>
        </is>
      </c>
      <c r="B31" s="2" t="inlineStr">
        <is>
          <t>Segurança CI</t>
        </is>
      </c>
      <c r="C31" s="2" t="inlineStr">
        <is>
          <t>Snyk (SCA/SAST/IaC)</t>
        </is>
      </c>
      <c r="D31" s="2" t="inlineStr">
        <is>
          <t>P2</t>
        </is>
      </c>
      <c r="E31" s="2" t="inlineStr">
        <is>
          <t>Security</t>
        </is>
      </c>
      <c r="F31" s="2" t="inlineStr">
        <is>
          <t>Fase 2</t>
        </is>
      </c>
      <c r="G31" s="2" t="inlineStr">
        <is>
          <t>CI</t>
        </is>
      </c>
      <c r="H31" s="2" t="inlineStr">
        <is>
          <t>Não</t>
        </is>
      </c>
      <c r="I31" s="2" t="inlineStr">
        <is>
          <t>Scan dependências</t>
        </is>
      </c>
      <c r="J31" s="2" t="inlineStr">
        <is>
          <t>$ por dev</t>
        </is>
      </c>
      <c r="K31" s="3">
        <f>IFERROR(VLOOKUP(A31,Assumptions_Custos!$A$65:$B$92,2,FALSE),0)</f>
        <v/>
      </c>
      <c r="L31" s="2" t="inlineStr">
        <is>
          <t>Módulos extras; custo escala com devs</t>
        </is>
      </c>
      <c r="M31" s="2" t="inlineStr">
        <is>
          <t>Rodar em merge; não em cada push</t>
        </is>
      </c>
      <c r="N31" s="2" t="inlineStr">
        <is>
          <t>https://snyk.io/plans/</t>
        </is>
      </c>
    </row>
    <row r="32">
      <c r="A32" s="2" t="inlineStr">
        <is>
          <t>gitleaks_secrets_trivy_syft_grype_sbom</t>
        </is>
      </c>
      <c r="B32" s="2" t="inlineStr">
        <is>
          <t>Segurança CI</t>
        </is>
      </c>
      <c r="C32" s="2" t="inlineStr">
        <is>
          <t>Gitleaks (secrets) + Trivy/Syft/Grype (SBOM)</t>
        </is>
      </c>
      <c r="D32" s="2" t="inlineStr">
        <is>
          <t>P0</t>
        </is>
      </c>
      <c r="E32" s="2" t="inlineStr">
        <is>
          <t>Security</t>
        </is>
      </c>
      <c r="F32" s="2" t="inlineStr">
        <is>
          <t>Fase 0</t>
        </is>
      </c>
      <c r="G32" s="2" t="inlineStr">
        <is>
          <t>CI</t>
        </is>
      </c>
      <c r="H32" s="2" t="inlineStr">
        <is>
          <t>Não</t>
        </is>
      </c>
      <c r="I32" s="2" t="inlineStr">
        <is>
          <t>Secret scan + SBOM</t>
        </is>
      </c>
      <c r="J32" s="2" t="inlineStr">
        <is>
          <t>Open source</t>
        </is>
      </c>
      <c r="K32" s="3">
        <f>IFERROR(VLOOKUP(A32,Assumptions_Custos!$A$65:$B$92,2,FALSE),0)</f>
        <v/>
      </c>
      <c r="L32" s="2" t="inlineStr">
        <is>
          <t>Tempo CI; tuning false positives</t>
        </is>
      </c>
      <c r="M32" s="2" t="inlineStr">
        <is>
          <t>Fail hard em secret; SBOM por release</t>
        </is>
      </c>
      <c r="N32" s="2" t="inlineStr">
        <is>
          <t>https://github.com/gitleaks/gitleaks</t>
        </is>
      </c>
    </row>
    <row r="33">
      <c r="A33" s="2" t="inlineStr">
        <is>
          <t>sentry</t>
        </is>
      </c>
      <c r="B33" s="2" t="inlineStr">
        <is>
          <t>Observabilidade</t>
        </is>
      </c>
      <c r="C33" s="2" t="inlineStr">
        <is>
          <t>Sentry</t>
        </is>
      </c>
      <c r="D33" s="2" t="inlineStr">
        <is>
          <t>P1</t>
        </is>
      </c>
      <c r="E33" s="2" t="inlineStr">
        <is>
          <t>Eng/Ops</t>
        </is>
      </c>
      <c r="F33" s="2" t="inlineStr">
        <is>
          <t>Fase 3</t>
        </is>
      </c>
      <c r="G33" s="2" t="inlineStr">
        <is>
          <t>Cloud</t>
        </is>
      </c>
      <c r="H33" s="2" t="inlineStr">
        <is>
          <t>Não</t>
        </is>
      </c>
      <c r="I33" s="2" t="inlineStr">
        <is>
          <t>Erros + traces</t>
        </is>
      </c>
      <c r="J33" s="2" t="inlineStr">
        <is>
          <t>Plano + overage</t>
        </is>
      </c>
      <c r="K33" s="3">
        <f>IFERROR(VLOOKUP(A33,Assumptions_Custos!$A$65:$B$92,2,FALSE),0)</f>
        <v/>
      </c>
      <c r="L33" s="2" t="inlineStr">
        <is>
          <t>Spans/logs payg; upgrades não prorateiam no mês</t>
        </is>
      </c>
      <c r="M33" s="2" t="inlineStr">
        <is>
          <t>Cap spans; sampling; alertas</t>
        </is>
      </c>
      <c r="N33" s="2" t="inlineStr">
        <is>
          <t>https://sentry.zendesk.com/hc/en-us/articles/26365105087643-The-price-on-the-Manage-Subscription-page-differs-from-what-is-shown-on-the-Pricing-Page-why</t>
        </is>
      </c>
    </row>
    <row r="34">
      <c r="A34" s="2" t="inlineStr">
        <is>
          <t>datadog_infra_apm</t>
        </is>
      </c>
      <c r="B34" s="2" t="inlineStr">
        <is>
          <t>Observabilidade</t>
        </is>
      </c>
      <c r="C34" s="2" t="inlineStr">
        <is>
          <t>Datadog (infra/APM)</t>
        </is>
      </c>
      <c r="D34" s="2" t="inlineStr">
        <is>
          <t>P2</t>
        </is>
      </c>
      <c r="E34" s="2" t="inlineStr">
        <is>
          <t>Ops</t>
        </is>
      </c>
      <c r="F34" s="2" t="inlineStr">
        <is>
          <t>Fase 3-4</t>
        </is>
      </c>
      <c r="G34" s="2" t="inlineStr">
        <is>
          <t>Cloud</t>
        </is>
      </c>
      <c r="H34" s="2" t="inlineStr">
        <is>
          <t>Não</t>
        </is>
      </c>
      <c r="I34" s="2" t="inlineStr">
        <is>
          <t>Métricas/logs/APM</t>
        </is>
      </c>
      <c r="J34" s="2" t="inlineStr">
        <is>
          <t>$ por host</t>
        </is>
      </c>
      <c r="K34" s="3">
        <f>IFERROR(VLOOKUP(A34,Assumptions_Custos!$A$65:$B$92,2,FALSE),0)</f>
        <v/>
      </c>
      <c r="L34" s="2" t="inlineStr">
        <is>
          <t>Logs por GB; cardinalidade de métricas; múltiplos produtos</t>
        </is>
      </c>
      <c r="M34" s="2" t="inlineStr">
        <is>
          <t>Cap logs; drop rules; alert budget</t>
        </is>
      </c>
      <c r="N34" s="2" t="inlineStr">
        <is>
          <t>https://www.datadoghq.com/pricing/</t>
        </is>
      </c>
    </row>
    <row r="35">
      <c r="A35" s="2" t="inlineStr">
        <is>
          <t>pagerduty_on_call_ou_opsgenie</t>
        </is>
      </c>
      <c r="B35" s="2" t="inlineStr">
        <is>
          <t>Operação</t>
        </is>
      </c>
      <c r="C35" s="2" t="inlineStr">
        <is>
          <t>PagerDuty (on-call) ou Opsgenie</t>
        </is>
      </c>
      <c r="D35" s="2" t="inlineStr">
        <is>
          <t>P2</t>
        </is>
      </c>
      <c r="E35" s="2" t="inlineStr">
        <is>
          <t>Ops</t>
        </is>
      </c>
      <c r="F35" s="2" t="inlineStr">
        <is>
          <t>Fase 4</t>
        </is>
      </c>
      <c r="G35" s="2" t="inlineStr">
        <is>
          <t>Cloud</t>
        </is>
      </c>
      <c r="H35" s="2" t="inlineStr">
        <is>
          <t>Não</t>
        </is>
      </c>
      <c r="I35" s="2" t="inlineStr">
        <is>
          <t>Alertas críticos</t>
        </is>
      </c>
      <c r="J35" s="2" t="inlineStr">
        <is>
          <t>Por usuário</t>
        </is>
      </c>
      <c r="K35" s="3">
        <f>IFERROR(VLOOKUP(A35,Assumptions_Custos!$A$65:$B$92,2,FALSE),0)</f>
        <v/>
      </c>
      <c r="L35" s="2" t="inlineStr">
        <is>
          <t>On-call add-ons; integrações</t>
        </is>
      </c>
      <c r="M35" s="2" t="inlineStr">
        <is>
          <t>Só alertas P0; deduplication</t>
        </is>
      </c>
      <c r="N35" s="2" t="inlineStr">
        <is>
          <t>https://www.pagerduty.com/pricing/</t>
        </is>
      </c>
    </row>
    <row r="36">
      <c r="A36" s="2" t="inlineStr">
        <is>
          <t>1password_business_secrets_manager</t>
        </is>
      </c>
      <c r="B36" s="2" t="inlineStr">
        <is>
          <t>Secrets</t>
        </is>
      </c>
      <c r="C36" s="2" t="inlineStr">
        <is>
          <t>1Password Business (secrets manager)</t>
        </is>
      </c>
      <c r="D36" s="2" t="inlineStr">
        <is>
          <t>P0</t>
        </is>
      </c>
      <c r="E36" s="2" t="inlineStr">
        <is>
          <t>Security/Ops</t>
        </is>
      </c>
      <c r="F36" s="2" t="inlineStr">
        <is>
          <t>Fase 0</t>
        </is>
      </c>
      <c r="G36" s="2" t="inlineStr">
        <is>
          <t>Cloud + apps</t>
        </is>
      </c>
      <c r="H36" s="2" t="inlineStr">
        <is>
          <t>Armazena tokens/OAuth; não senha em claro</t>
        </is>
      </c>
      <c r="I36" s="2" t="inlineStr">
        <is>
          <t>Secrets central + RBAC</t>
        </is>
      </c>
      <c r="J36" s="2" t="inlineStr">
        <is>
          <t>Por usuário (anual)</t>
        </is>
      </c>
      <c r="K36" s="3">
        <f>IFERROR(VLOOKUP(A36,Assumptions_Custos!$A$65:$B$92,2,FALSE),0)</f>
        <v/>
      </c>
      <c r="L36" s="2" t="inlineStr">
        <is>
          <t>Anual; onboarding; políticas</t>
        </is>
      </c>
      <c r="M36" s="2" t="inlineStr">
        <is>
          <t>Rotação; BYOK; nenhum secret em CI sem OIDC</t>
        </is>
      </c>
      <c r="N36" s="2" t="inlineStr">
        <is>
          <t>https://1password.com/pricing</t>
        </is>
      </c>
    </row>
    <row r="37">
      <c r="A37" s="2" t="inlineStr">
        <is>
          <t>okta_workforce_sso_mfa_opcional</t>
        </is>
      </c>
      <c r="B37" s="2" t="inlineStr">
        <is>
          <t>Identity</t>
        </is>
      </c>
      <c r="C37" s="2" t="inlineStr">
        <is>
          <t>Okta Workforce (SSO/MFA) (opcional)</t>
        </is>
      </c>
      <c r="D37" s="2" t="inlineStr">
        <is>
          <t>P2</t>
        </is>
      </c>
      <c r="E37" s="2" t="inlineStr">
        <is>
          <t>Security</t>
        </is>
      </c>
      <c r="F37" s="2" t="inlineStr">
        <is>
          <t>Fase 2-3</t>
        </is>
      </c>
      <c r="G37" s="2" t="inlineStr">
        <is>
          <t>Cloud</t>
        </is>
      </c>
      <c r="H37" s="2" t="inlineStr">
        <is>
          <t>Para seu CRM (fase 1/2) e tools</t>
        </is>
      </c>
      <c r="I37" s="2" t="inlineStr">
        <is>
          <t>SSO/SCIM para tools e apps internos</t>
        </is>
      </c>
      <c r="J37" s="2" t="inlineStr">
        <is>
          <t>Por usuário (anual)</t>
        </is>
      </c>
      <c r="K37" s="3">
        <f>IFERROR(VLOOKUP(A37,Assumptions_Custos!$A$65:$B$92,2,FALSE),0)</f>
        <v/>
      </c>
      <c r="L37" s="2" t="inlineStr">
        <is>
          <t>Workflows/LCM add-ons</t>
        </is>
      </c>
      <c r="M37" s="2" t="inlineStr">
        <is>
          <t>SSO obrigatório p/ admin; SCIM cleanup</t>
        </is>
      </c>
      <c r="N37" s="2" t="inlineStr">
        <is>
          <t>https://www.okta.com/en-au/pricing/</t>
        </is>
      </c>
    </row>
    <row r="38">
      <c r="A38" s="2" t="inlineStr">
        <is>
          <t>figma</t>
        </is>
      </c>
      <c r="B38" s="2" t="inlineStr">
        <is>
          <t>Design</t>
        </is>
      </c>
      <c r="C38" s="2" t="inlineStr">
        <is>
          <t>Figma</t>
        </is>
      </c>
      <c r="D38" s="2" t="inlineStr">
        <is>
          <t>P0</t>
        </is>
      </c>
      <c r="E38" s="2" t="inlineStr">
        <is>
          <t>Design</t>
        </is>
      </c>
      <c r="F38" s="2" t="inlineStr">
        <is>
          <t>Fase 0</t>
        </is>
      </c>
      <c r="G38" s="2" t="inlineStr">
        <is>
          <t>Cloud</t>
        </is>
      </c>
      <c r="H38" s="2" t="inlineStr">
        <is>
          <t>Não</t>
        </is>
      </c>
      <c r="I38" s="2" t="inlineStr">
        <is>
          <t>Design system + tokens</t>
        </is>
      </c>
      <c r="J38" s="2" t="inlineStr">
        <is>
          <t>Por seat</t>
        </is>
      </c>
      <c r="K38" s="3">
        <f>IFERROR(VLOOKUP(A38,Assumptions_Custos!$A$65:$B$92,2,FALSE),0)</f>
        <v/>
      </c>
      <c r="L38" s="2" t="inlineStr">
        <is>
          <t>Dev Mode seats; plugins pagos</t>
        </is>
      </c>
      <c r="M38" s="2" t="inlineStr">
        <is>
          <t>Biblioteca única; naming convention; versioning</t>
        </is>
      </c>
      <c r="N38" s="2" t="inlineStr">
        <is>
          <t>https://www.figma.com/pricing/</t>
        </is>
      </c>
    </row>
    <row r="39">
      <c r="A39" s="2" t="inlineStr">
        <is>
          <t>locofy_figma_react</t>
        </is>
      </c>
      <c r="B39" s="2" t="inlineStr">
        <is>
          <t>Design→Código</t>
        </is>
      </c>
      <c r="C39" s="2" t="inlineStr">
        <is>
          <t>Locofy (Figma→React)</t>
        </is>
      </c>
      <c r="D39" s="2" t="inlineStr">
        <is>
          <t>P2</t>
        </is>
      </c>
      <c r="E39" s="2" t="inlineStr">
        <is>
          <t>Design/Frontend</t>
        </is>
      </c>
      <c r="F39" s="2" t="inlineStr">
        <is>
          <t>Fase 2</t>
        </is>
      </c>
      <c r="G39" s="2" t="inlineStr">
        <is>
          <t>Plugin + SaaS</t>
        </is>
      </c>
      <c r="H39" s="2" t="inlineStr">
        <is>
          <t>Não</t>
        </is>
      </c>
      <c r="I39" s="2" t="inlineStr">
        <is>
          <t>Gera componentes base</t>
        </is>
      </c>
      <c r="J39" s="2" t="inlineStr">
        <is>
          <t>Anual + tokens</t>
        </is>
      </c>
      <c r="K39" s="3">
        <f>IFERROR(VLOOKUP(A39,Assumptions_Custos!$A$65:$B$92,2,FALSE),0)</f>
        <v/>
      </c>
      <c r="L39" s="2" t="inlineStr">
        <is>
          <t>Tokens; qualidade depende de disciplina no Figma</t>
        </is>
      </c>
      <c r="M39" s="2" t="inlineStr">
        <is>
          <t>Só para scaffolding; revisão automática lint</t>
        </is>
      </c>
      <c r="N39" s="2" t="inlineStr">
        <is>
          <t>(vendor pricing varies; confirm)</t>
        </is>
      </c>
    </row>
    <row r="40">
      <c r="A40" s="2" t="inlineStr">
        <is>
          <t>github_copilot_business</t>
        </is>
      </c>
      <c r="B40" s="2" t="inlineStr">
        <is>
          <t>AI Dev</t>
        </is>
      </c>
      <c r="C40" s="2" t="inlineStr">
        <is>
          <t>GitHub Copilot Business</t>
        </is>
      </c>
      <c r="D40" s="2" t="inlineStr">
        <is>
          <t>P2</t>
        </is>
      </c>
      <c r="E40" s="2" t="inlineStr">
        <is>
          <t>Eng</t>
        </is>
      </c>
      <c r="F40" s="2" t="inlineStr">
        <is>
          <t>Fase 1-2</t>
        </is>
      </c>
      <c r="G40" s="2" t="inlineStr">
        <is>
          <t>IDE</t>
        </is>
      </c>
      <c r="H40" s="2" t="inlineStr">
        <is>
          <t>Não</t>
        </is>
      </c>
      <c r="I40" s="2" t="inlineStr">
        <is>
          <t>Acelera codegen/refactor</t>
        </is>
      </c>
      <c r="J40" s="2" t="inlineStr">
        <is>
          <t>$19/user/mo</t>
        </is>
      </c>
      <c r="K40" s="3">
        <f>IFERROR(VLOOKUP(A40,Assumptions_Custos!$A$65:$B$92,2,FALSE),0)</f>
        <v/>
      </c>
      <c r="L40" s="2" t="inlineStr">
        <is>
          <t>Premium requests extra; política de privacidade</t>
        </is>
      </c>
      <c r="M40" s="2" t="inlineStr">
        <is>
          <t>Desabilitar em repos sensíveis se necessário</t>
        </is>
      </c>
      <c r="N40" s="2" t="inlineStr">
        <is>
          <t>https://docs.github.com/billing/managing-billing-for-github-copilot</t>
        </is>
      </c>
    </row>
    <row r="41">
      <c r="A41" s="2" t="inlineStr">
        <is>
          <t>cursor_teams_opcional</t>
        </is>
      </c>
      <c r="B41" s="2" t="inlineStr">
        <is>
          <t>AI Dev</t>
        </is>
      </c>
      <c r="C41" s="2" t="inlineStr">
        <is>
          <t>Cursor Teams (opcional)</t>
        </is>
      </c>
      <c r="D41" s="2" t="inlineStr">
        <is>
          <t>P2</t>
        </is>
      </c>
      <c r="E41" s="2" t="inlineStr">
        <is>
          <t>Eng</t>
        </is>
      </c>
      <c r="F41" s="2" t="inlineStr">
        <is>
          <t>Fase 1-2</t>
        </is>
      </c>
      <c r="G41" s="2" t="inlineStr">
        <is>
          <t>IDE</t>
        </is>
      </c>
      <c r="H41" s="2" t="inlineStr">
        <is>
          <t>Não</t>
        </is>
      </c>
      <c r="I41" s="2" t="inlineStr">
        <is>
          <t>Agentes e edição</t>
        </is>
      </c>
      <c r="J41" s="2" t="inlineStr">
        <is>
          <t>$40/user/mo</t>
        </is>
      </c>
      <c r="K41" s="3">
        <f>IFERROR(VLOOKUP(A41,Assumptions_Custos!$A$65:$B$92,2,FALSE),0)</f>
        <v/>
      </c>
      <c r="L41" s="2" t="inlineStr">
        <is>
          <t>Uso adicional por modelo; heavy users</t>
        </is>
      </c>
      <c r="M41" s="2" t="inlineStr">
        <is>
          <t>Cap por usuário; bloquear background agents para todos</t>
        </is>
      </c>
      <c r="N41" s="2" t="inlineStr">
        <is>
          <t>https://cursor.com/pricing</t>
        </is>
      </c>
    </row>
    <row r="42">
      <c r="A42" s="2" t="inlineStr">
        <is>
          <t>openai_api_byok</t>
        </is>
      </c>
      <c r="B42" s="2" t="inlineStr">
        <is>
          <t>LLM Runtime</t>
        </is>
      </c>
      <c r="C42" s="2" t="inlineStr">
        <is>
          <t>OpenAI API (BYOK)</t>
        </is>
      </c>
      <c r="D42" s="2" t="inlineStr">
        <is>
          <t>P0</t>
        </is>
      </c>
      <c r="E42" s="2" t="inlineStr">
        <is>
          <t>Eng/Operação</t>
        </is>
      </c>
      <c r="F42" s="2" t="inlineStr">
        <is>
          <t>Fase 1+</t>
        </is>
      </c>
      <c r="G42" s="2" t="inlineStr">
        <is>
          <t>Cloud</t>
        </is>
      </c>
      <c r="H42" s="2" t="inlineStr">
        <is>
          <t>Não</t>
        </is>
      </c>
      <c r="I42" s="2" t="inlineStr">
        <is>
          <t>Gera/transforma traces→blueprint/spec</t>
        </is>
      </c>
      <c r="J42" s="2" t="inlineStr">
        <is>
          <t>$ por token</t>
        </is>
      </c>
      <c r="K42" s="3">
        <f>IFERROR(VLOOKUP(A42,Assumptions_Custos!$A$65:$B$92,2,FALSE),0)</f>
        <v/>
      </c>
      <c r="L42" s="2" t="inlineStr">
        <is>
          <t>Output tokens caros; ferramentas (vision) podem aumentar custo</t>
        </is>
      </c>
      <c r="M42" s="2" t="inlineStr">
        <is>
          <t>Budget diário; cache; batch para jobs não urgentes</t>
        </is>
      </c>
      <c r="N42" s="2" t="inlineStr">
        <is>
          <t>https://openai.com/api/pricing/</t>
        </is>
      </c>
    </row>
    <row r="43">
      <c r="A43" s="2" t="inlineStr">
        <is>
          <t>anthropic_claude_api_byok</t>
        </is>
      </c>
      <c r="B43" s="2" t="inlineStr">
        <is>
          <t>LLM Runtime</t>
        </is>
      </c>
      <c r="C43" s="2" t="inlineStr">
        <is>
          <t>Anthropic Claude API (BYOK)</t>
        </is>
      </c>
      <c r="D43" s="2" t="inlineStr">
        <is>
          <t>P1</t>
        </is>
      </c>
      <c r="E43" s="2" t="inlineStr">
        <is>
          <t>Eng/Operação</t>
        </is>
      </c>
      <c r="F43" s="2" t="inlineStr">
        <is>
          <t>Fase 1+</t>
        </is>
      </c>
      <c r="G43" s="2" t="inlineStr">
        <is>
          <t>Cloud</t>
        </is>
      </c>
      <c r="H43" s="2" t="inlineStr">
        <is>
          <t>Não</t>
        </is>
      </c>
      <c r="I43" s="2" t="inlineStr">
        <is>
          <t>Alternativa/modelo para code+reasoning</t>
        </is>
      </c>
      <c r="J43" s="2" t="inlineStr">
        <is>
          <t>$ por token</t>
        </is>
      </c>
      <c r="K43" s="3">
        <f>IFERROR(VLOOKUP(A43,Assumptions_Custos!$A$65:$B$92,2,FALSE),0)</f>
        <v/>
      </c>
      <c r="L43" s="2" t="inlineStr">
        <is>
          <t>Prompts &gt;200K mais caros; caching writes</t>
        </is>
      </c>
      <c r="M43" s="2" t="inlineStr">
        <is>
          <t>Budget; prompt caching; cap contexto</t>
        </is>
      </c>
      <c r="N43" s="2" t="inlineStr">
        <is>
          <t>https://platform.claude.com/docs/en/about-claude/pricing</t>
        </is>
      </c>
    </row>
    <row r="44">
      <c r="A44" s="2" t="inlineStr">
        <is>
          <t>lighthouse_ci</t>
        </is>
      </c>
      <c r="B44" s="2" t="inlineStr">
        <is>
          <t>Qualidade</t>
        </is>
      </c>
      <c r="C44" s="2" t="inlineStr">
        <is>
          <t>Lighthouse CI</t>
        </is>
      </c>
      <c r="D44" s="2" t="inlineStr">
        <is>
          <t>P1</t>
        </is>
      </c>
      <c r="E44" s="2" t="inlineStr">
        <is>
          <t>QA</t>
        </is>
      </c>
      <c r="F44" s="2" t="inlineStr">
        <is>
          <t>Fase 4</t>
        </is>
      </c>
      <c r="G44" s="2" t="inlineStr">
        <is>
          <t>CI</t>
        </is>
      </c>
      <c r="H44" s="2" t="inlineStr">
        <is>
          <t>Não</t>
        </is>
      </c>
      <c r="I44" s="2" t="inlineStr">
        <is>
          <t>Gate de performance</t>
        </is>
      </c>
      <c r="J44" s="2" t="inlineStr">
        <is>
          <t>Open source</t>
        </is>
      </c>
      <c r="K44" s="3">
        <f>IFERROR(VLOOKUP(A44,Assumptions_Custos!$A$65:$B$92,2,FALSE),0)</f>
        <v/>
      </c>
      <c r="L44" s="2" t="inlineStr">
        <is>
          <t>Instabilidade em páginas dinâmicas</t>
        </is>
      </c>
      <c r="M44" s="2" t="inlineStr">
        <is>
          <t>Rodar só em rotas-chave; thresholds</t>
        </is>
      </c>
      <c r="N44" s="2" t="inlineStr">
        <is>
          <t>https://github.com/GoogleChrome/lighthouse-ci</t>
        </is>
      </c>
    </row>
    <row r="45">
      <c r="A45" s="2" t="inlineStr">
        <is>
          <t>k6_load_test</t>
        </is>
      </c>
      <c r="B45" s="2" t="inlineStr">
        <is>
          <t>Qualidade</t>
        </is>
      </c>
      <c r="C45" s="2" t="inlineStr">
        <is>
          <t>k6 (load test)</t>
        </is>
      </c>
      <c r="D45" s="2" t="inlineStr">
        <is>
          <t>P2</t>
        </is>
      </c>
      <c r="E45" s="2" t="inlineStr">
        <is>
          <t>QA</t>
        </is>
      </c>
      <c r="F45" s="2" t="inlineStr">
        <is>
          <t>Fase 4-5</t>
        </is>
      </c>
      <c r="G45" s="2" t="inlineStr">
        <is>
          <t>CI/Cloud</t>
        </is>
      </c>
      <c r="H45" s="2" t="inlineStr">
        <is>
          <t>Não</t>
        </is>
      </c>
      <c r="I45" s="2" t="inlineStr">
        <is>
          <t>Gate de carga</t>
        </is>
      </c>
      <c r="J45" s="2" t="inlineStr">
        <is>
          <t>OSS ou SaaS</t>
        </is>
      </c>
      <c r="K45" s="3">
        <f>IFERROR(VLOOKUP(A45,Assumptions_Custos!$A$65:$B$92,2,FALSE),0)</f>
        <v/>
      </c>
      <c r="L45" s="2" t="inlineStr">
        <is>
          <t>Custo cloud para muita carga</t>
        </is>
      </c>
      <c r="M45" s="2" t="inlineStr">
        <is>
          <t>Cap VUs; janela curta</t>
        </is>
      </c>
      <c r="N45" s="2" t="inlineStr">
        <is>
          <t>https://k6.io/</t>
        </is>
      </c>
    </row>
    <row r="46">
      <c r="A46" s="2" t="inlineStr">
        <is>
          <t>owasp_zap_dast</t>
        </is>
      </c>
      <c r="B46" s="2" t="inlineStr">
        <is>
          <t>Segurança App</t>
        </is>
      </c>
      <c r="C46" s="2" t="inlineStr">
        <is>
          <t>OWASP ZAP (DAST)</t>
        </is>
      </c>
      <c r="D46" s="2" t="inlineStr">
        <is>
          <t>P2</t>
        </is>
      </c>
      <c r="E46" s="2" t="inlineStr">
        <is>
          <t>Security</t>
        </is>
      </c>
      <c r="F46" s="2" t="inlineStr">
        <is>
          <t>Fase 4</t>
        </is>
      </c>
      <c r="G46" s="2" t="inlineStr">
        <is>
          <t>CI</t>
        </is>
      </c>
      <c r="H46" s="2" t="inlineStr">
        <is>
          <t>Não</t>
        </is>
      </c>
      <c r="I46" s="2" t="inlineStr">
        <is>
          <t>Scan dinâmico</t>
        </is>
      </c>
      <c r="J46" s="2" t="inlineStr">
        <is>
          <t>Open source</t>
        </is>
      </c>
      <c r="K46" s="3">
        <f>IFERROR(VLOOKUP(A46,Assumptions_Custos!$A$65:$B$92,2,FALSE),0)</f>
        <v/>
      </c>
      <c r="L46" s="2" t="inlineStr">
        <is>
          <t>Falsos positivos; tempo CI</t>
        </is>
      </c>
      <c r="M46" s="2" t="inlineStr">
        <is>
          <t>Só staging; baseline</t>
        </is>
      </c>
      <c r="N46" s="2" t="inlineStr">
        <is>
          <t>https://www.zaproxy.org/</t>
        </is>
      </c>
    </row>
    <row r="47">
      <c r="A47" s="2" t="inlineStr">
        <is>
          <t>axe_core_a11y</t>
        </is>
      </c>
      <c r="B47" s="2" t="inlineStr">
        <is>
          <t>Acessibilidade</t>
        </is>
      </c>
      <c r="C47" s="2" t="inlineStr">
        <is>
          <t>axe-core (a11y)</t>
        </is>
      </c>
      <c r="D47" s="2" t="inlineStr">
        <is>
          <t>P2</t>
        </is>
      </c>
      <c r="E47" s="2" t="inlineStr">
        <is>
          <t>QA/Design</t>
        </is>
      </c>
      <c r="F47" s="2" t="inlineStr">
        <is>
          <t>Fase 4</t>
        </is>
      </c>
      <c r="G47" s="2" t="inlineStr">
        <is>
          <t>CI</t>
        </is>
      </c>
      <c r="H47" s="2" t="inlineStr">
        <is>
          <t>Não</t>
        </is>
      </c>
      <c r="I47" s="2" t="inlineStr">
        <is>
          <t>Gate a11y</t>
        </is>
      </c>
      <c r="J47" s="2" t="inlineStr">
        <is>
          <t>Open source</t>
        </is>
      </c>
      <c r="K47" s="3">
        <f>IFERROR(VLOOKUP(A47,Assumptions_Custos!$A$65:$B$92,2,FALSE),0)</f>
        <v/>
      </c>
      <c r="L47" s="2" t="inlineStr">
        <is>
          <t>Regra por produto; tuning</t>
        </is>
      </c>
      <c r="M47" s="2" t="inlineStr">
        <is>
          <t>Fail só em severidade alta no começo</t>
        </is>
      </c>
      <c r="N47" s="2" t="inlineStr">
        <is>
          <t>https://github.com/dequelabs/axe-core</t>
        </is>
      </c>
    </row>
  </sheetData>
  <autoFilter ref="A1:N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40" customWidth="1" min="3" max="3"/>
    <col width="28" customWidth="1" min="4" max="4"/>
  </cols>
  <sheetData>
    <row r="1">
      <c r="A1" s="4" t="inlineStr">
        <is>
          <t>Assumptions (edite só as células amarelas)</t>
        </is>
      </c>
    </row>
    <row r="2">
      <c r="A2" t="inlineStr">
        <is>
          <t>Chave</t>
        </is>
      </c>
      <c r="B2" t="inlineStr">
        <is>
          <t>Valor</t>
        </is>
      </c>
      <c r="C2" t="inlineStr">
        <is>
          <t>Descrição</t>
        </is>
      </c>
      <c r="D2" t="inlineStr">
        <is>
          <t>Observação</t>
        </is>
      </c>
    </row>
    <row r="3">
      <c r="A3" s="1" t="n"/>
      <c r="B3" s="1" t="n"/>
      <c r="C3" s="1" t="n"/>
      <c r="D3" s="1" t="n"/>
    </row>
    <row r="4">
      <c r="A4" s="2" t="inlineStr">
        <is>
          <t>TEAM_SEATS_GITHUB</t>
        </is>
      </c>
      <c r="B4" s="5" t="n">
        <v>8</v>
      </c>
      <c r="C4" s="2" t="inlineStr">
        <is>
          <t>Assentos GitHub Team</t>
        </is>
      </c>
      <c r="D4" s="2" t="inlineStr"/>
    </row>
    <row r="5">
      <c r="A5" s="2" t="inlineStr">
        <is>
          <t>ACTIONS_MINUTES_MONTH</t>
        </is>
      </c>
      <c r="B5" s="5" t="n">
        <v>20000</v>
      </c>
      <c r="C5" s="2" t="inlineStr">
        <is>
          <t>Minutos Actions/mês (após franquia)</t>
        </is>
      </c>
      <c r="D5" s="2" t="inlineStr"/>
    </row>
    <row r="6">
      <c r="A6" s="2" t="inlineStr">
        <is>
          <t>ACTIONS_RATE_PER_MIN</t>
        </is>
      </c>
      <c r="B6" s="6" t="n">
        <v>0.008</v>
      </c>
      <c r="C6" s="2" t="inlineStr">
        <is>
          <t>USD/min (runner Linux típico)</t>
        </is>
      </c>
      <c r="D6" s="2" t="inlineStr"/>
    </row>
    <row r="7">
      <c r="A7" s="2" t="inlineStr">
        <is>
          <t>ACTIVE_COMMITTERS_SECURITY</t>
        </is>
      </c>
      <c r="B7" s="5" t="n">
        <v>6</v>
      </c>
      <c r="C7" s="2" t="inlineStr">
        <is>
          <t>Committers ativos (GitHub Secret/Code Security)</t>
        </is>
      </c>
      <c r="D7" s="2" t="inlineStr"/>
    </row>
    <row r="8">
      <c r="A8" s="2" t="inlineStr">
        <is>
          <t>FLOWRECORDER_PLAN_USD</t>
        </is>
      </c>
      <c r="B8" s="6" t="n">
        <v>49.99</v>
      </c>
      <c r="C8" s="2" t="inlineStr">
        <is>
          <t>Flow Recorder plano (ex.: Pro)</t>
        </is>
      </c>
      <c r="D8" s="2" t="inlineStr"/>
    </row>
    <row r="9">
      <c r="A9" s="2" t="inlineStr">
        <is>
          <t>FIDDLER_USERS</t>
        </is>
      </c>
      <c r="B9" s="5" t="n">
        <v>2</v>
      </c>
      <c r="C9" s="2" t="inlineStr">
        <is>
          <t>Usuários Fiddler</t>
        </is>
      </c>
      <c r="D9" s="2" t="inlineStr"/>
    </row>
    <row r="10">
      <c r="A10" s="2" t="inlineStr">
        <is>
          <t>FIDDLER_USD_PER_USER</t>
        </is>
      </c>
      <c r="B10" s="6" t="n">
        <v>18</v>
      </c>
      <c r="C10" s="2" t="inlineStr">
        <is>
          <t>USD/usuário/mês (mensal)</t>
        </is>
      </c>
      <c r="D10" s="2" t="inlineStr"/>
    </row>
    <row r="11">
      <c r="A11" s="2" t="inlineStr">
        <is>
          <t>POSTMAN_USERS</t>
        </is>
      </c>
      <c r="B11" s="5" t="n">
        <v>3</v>
      </c>
      <c r="C11" s="2" t="inlineStr">
        <is>
          <t>Usuários Postman</t>
        </is>
      </c>
      <c r="D11" s="2" t="inlineStr"/>
    </row>
    <row r="12">
      <c r="A12" s="2" t="inlineStr">
        <is>
          <t>POSTMAN_USD_PER_USER</t>
        </is>
      </c>
      <c r="B12" s="6" t="n">
        <v>29</v>
      </c>
      <c r="C12" s="2" t="inlineStr">
        <is>
          <t>USD/usuário/mês (Pro)</t>
        </is>
      </c>
      <c r="D12" s="2" t="inlineStr"/>
    </row>
    <row r="13">
      <c r="A13" s="2" t="inlineStr">
        <is>
          <t>STOPLIGHT_PLAN_BASE</t>
        </is>
      </c>
      <c r="B13" s="6" t="n">
        <v>147</v>
      </c>
      <c r="C13" s="2" t="inlineStr">
        <is>
          <t>Stoplight Startup (mensal) ou equivalente</t>
        </is>
      </c>
      <c r="D13" s="2" t="inlineStr"/>
    </row>
    <row r="14">
      <c r="A14" s="2" t="inlineStr">
        <is>
          <t>STOPLIGHT_INCLUDED_USERS</t>
        </is>
      </c>
      <c r="B14" s="5" t="n">
        <v>8</v>
      </c>
      <c r="C14" s="2" t="inlineStr">
        <is>
          <t>Stoplight usuários incluídos</t>
        </is>
      </c>
      <c r="D14" s="2" t="inlineStr"/>
    </row>
    <row r="15">
      <c r="A15" s="2" t="inlineStr">
        <is>
          <t>STOPLIGHT_EXTRA_USERS</t>
        </is>
      </c>
      <c r="B15" s="5" t="n">
        <v>0</v>
      </c>
      <c r="C15" s="2" t="inlineStr">
        <is>
          <t>Stoplight usuários extras</t>
        </is>
      </c>
      <c r="D15" s="2" t="inlineStr"/>
    </row>
    <row r="16">
      <c r="A16" s="2" t="inlineStr">
        <is>
          <t>STOPLIGHT_USD_PER_EXTRA_USER</t>
        </is>
      </c>
      <c r="B16" s="6" t="n">
        <v>14</v>
      </c>
      <c r="C16" s="2" t="inlineStr">
        <is>
          <t>USD por usuário extra (mensal)</t>
        </is>
      </c>
      <c r="D16" s="2" t="inlineStr"/>
    </row>
    <row r="17">
      <c r="A17" s="2" t="inlineStr">
        <is>
          <t>SUPABASE_PRO_PLAN_FEE</t>
        </is>
      </c>
      <c r="B17" s="6" t="n">
        <v>25</v>
      </c>
      <c r="C17" s="2" t="inlineStr">
        <is>
          <t>Supabase Pro fee (por org)</t>
        </is>
      </c>
      <c r="D17" s="2" t="inlineStr"/>
    </row>
    <row r="18">
      <c r="A18" s="2" t="inlineStr">
        <is>
          <t>SUPABASE_PROJECTS</t>
        </is>
      </c>
      <c r="B18" s="5" t="n">
        <v>2</v>
      </c>
      <c r="C18" s="2" t="inlineStr">
        <is>
          <t>Projetos Supabase (prod + staging)</t>
        </is>
      </c>
      <c r="D18" s="2" t="inlineStr"/>
    </row>
    <row r="19">
      <c r="A19" s="2" t="inlineStr">
        <is>
          <t>SUPABASE_COMPUTE_PER_PROJECT</t>
        </is>
      </c>
      <c r="B19" s="7" t="n">
        <v>110</v>
      </c>
      <c r="C19" s="2" t="inlineStr">
        <is>
          <t>Compute por projeto/mês (ex.: Large ~110)</t>
        </is>
      </c>
      <c r="D19" s="2" t="inlineStr"/>
    </row>
    <row r="20">
      <c r="A20" s="2" t="inlineStr">
        <is>
          <t>SUPABASE_OVERAGE_BUFFER</t>
        </is>
      </c>
      <c r="B20" s="7" t="n">
        <v>50</v>
      </c>
      <c r="C20" s="2" t="inlineStr">
        <is>
          <t>Overage buffer (egress/MAU/storage)</t>
        </is>
      </c>
      <c r="D20" s="2" t="inlineStr"/>
    </row>
    <row r="21">
      <c r="A21" s="2" t="inlineStr">
        <is>
          <t>TEMPORAL_PLAN_FEE</t>
        </is>
      </c>
      <c r="B21" s="6" t="n">
        <v>100</v>
      </c>
      <c r="C21" s="2" t="inlineStr">
        <is>
          <t>Temporal Cloud plan fee</t>
        </is>
      </c>
      <c r="D21" s="2" t="inlineStr"/>
    </row>
    <row r="22">
      <c r="A22" s="2" t="inlineStr">
        <is>
          <t>TEMPORAL_ACTIONS_MONTH</t>
        </is>
      </c>
      <c r="B22" s="5" t="n">
        <v>2000000</v>
      </c>
      <c r="C22" s="2" t="inlineStr">
        <is>
          <t>Ações Temporal por mês</t>
        </is>
      </c>
      <c r="D22" s="2" t="inlineStr"/>
    </row>
    <row r="23">
      <c r="A23" s="2" t="inlineStr">
        <is>
          <t>TEMPORAL_USD_PER_M_ACTIONS</t>
        </is>
      </c>
      <c r="B23" s="6" t="n">
        <v>50</v>
      </c>
      <c r="C23" s="2" t="inlineStr">
        <is>
          <t>USD por 1M ações</t>
        </is>
      </c>
      <c r="D23" s="2" t="inlineStr"/>
    </row>
    <row r="24">
      <c r="A24" s="2" t="inlineStr">
        <is>
          <t>UPSTASH_REDIS_FIXED</t>
        </is>
      </c>
      <c r="B24" s="7" t="n">
        <v>10</v>
      </c>
      <c r="C24" s="2" t="inlineStr">
        <is>
          <t>Upstash Redis Fixed (ou 0 se PAYG)</t>
        </is>
      </c>
      <c r="D24" s="2" t="inlineStr"/>
    </row>
    <row r="25">
      <c r="A25" s="2" t="inlineStr">
        <is>
          <t>UPSTASH_REDIS_PRODPACK</t>
        </is>
      </c>
      <c r="B25" s="7" t="n">
        <v>0</v>
      </c>
      <c r="C25" s="2" t="inlineStr">
        <is>
          <t>Upstash Prod Pack (0 ou 200)</t>
        </is>
      </c>
      <c r="D25" s="2" t="inlineStr"/>
    </row>
    <row r="26">
      <c r="A26" s="2" t="inlineStr">
        <is>
          <t>UPSTASH_QSTASH_MESSAGES_MONTH</t>
        </is>
      </c>
      <c r="B26" s="5" t="n">
        <v>3000000</v>
      </c>
      <c r="C26" s="2" t="inlineStr">
        <is>
          <t>QStash mensagens/mês</t>
        </is>
      </c>
      <c r="D26" s="2" t="inlineStr"/>
    </row>
    <row r="27">
      <c r="A27" s="2" t="inlineStr">
        <is>
          <t>UPSTASH_QSTASH_USD_PER_100K</t>
        </is>
      </c>
      <c r="B27" s="6" t="n">
        <v>1</v>
      </c>
      <c r="C27" s="2" t="inlineStr">
        <is>
          <t>USD por 100k msgs</t>
        </is>
      </c>
      <c r="D27" s="2" t="inlineStr"/>
    </row>
    <row r="28">
      <c r="A28" s="2" t="inlineStr">
        <is>
          <t>UPSTASH_QSTASH_FIXED</t>
        </is>
      </c>
      <c r="B28" s="7" t="n">
        <v>0</v>
      </c>
      <c r="C28" s="2" t="inlineStr">
        <is>
          <t>QStash Fixed (0 ou 180)</t>
        </is>
      </c>
      <c r="D28" s="2" t="inlineStr"/>
    </row>
    <row r="29">
      <c r="A29" s="2" t="inlineStr">
        <is>
          <t>CLOUDFLARE_WORKERS_BASE</t>
        </is>
      </c>
      <c r="B29" s="7" t="n">
        <v>5</v>
      </c>
      <c r="C29" s="2" t="inlineStr">
        <is>
          <t>Workers Paid base</t>
        </is>
      </c>
      <c r="D29" s="2" t="inlineStr"/>
    </row>
    <row r="30">
      <c r="A30" s="2" t="inlineStr">
        <is>
          <t>CLOUDFLARE_WORKERS_REQ_M</t>
        </is>
      </c>
      <c r="B30" s="5" t="n">
        <v>30</v>
      </c>
      <c r="C30" s="2" t="inlineStr">
        <is>
          <t>Workers requests/mês (milhões)</t>
        </is>
      </c>
      <c r="D30" s="2" t="inlineStr"/>
    </row>
    <row r="31">
      <c r="A31" s="2" t="inlineStr">
        <is>
          <t>CLOUDFLARE_WORKERS_USD_PER_MREQ</t>
        </is>
      </c>
      <c r="B31" s="6" t="n">
        <v>0.3</v>
      </c>
      <c r="C31" s="2" t="inlineStr">
        <is>
          <t>USD por 1M req acima incluído</t>
        </is>
      </c>
      <c r="D31" s="2" t="inlineStr"/>
    </row>
    <row r="32">
      <c r="A32" s="2" t="inlineStr">
        <is>
          <t>CHROMATIC_PLAN</t>
        </is>
      </c>
      <c r="B32" s="6" t="n">
        <v>179</v>
      </c>
      <c r="C32" s="2" t="inlineStr">
        <is>
          <t>Chromatic Starter (ou 0)</t>
        </is>
      </c>
      <c r="D32" s="2" t="inlineStr"/>
    </row>
    <row r="33">
      <c r="A33" s="2" t="inlineStr">
        <is>
          <t>CHROMATIC_OVERAGE_SNAPSHOTS</t>
        </is>
      </c>
      <c r="B33" s="5" t="n">
        <v>0</v>
      </c>
      <c r="C33" s="2" t="inlineStr">
        <is>
          <t>Overage snapshots (qty)</t>
        </is>
      </c>
      <c r="D33" s="2" t="inlineStr"/>
    </row>
    <row r="34">
      <c r="A34" s="2" t="inlineStr">
        <is>
          <t>CHROMATIC_USD_PER_SNAPSHOT</t>
        </is>
      </c>
      <c r="B34" s="6" t="n">
        <v>0.008</v>
      </c>
      <c r="C34" s="2" t="inlineStr">
        <is>
          <t>USD por snapshot overage</t>
        </is>
      </c>
      <c r="D34" s="2" t="inlineStr"/>
    </row>
    <row r="35">
      <c r="A35" s="2" t="inlineStr">
        <is>
          <t>APPLITOOLS_MONTHLY_EQ</t>
        </is>
      </c>
      <c r="B35" s="7" t="n">
        <v>969</v>
      </c>
      <c r="C35" s="2" t="inlineStr">
        <is>
          <t>Applitools Starter (média mensal; contrato anual)</t>
        </is>
      </c>
      <c r="D35" s="2" t="inlineStr"/>
    </row>
    <row r="36">
      <c r="A36" s="2" t="inlineStr">
        <is>
          <t>SENTRY_BASE</t>
        </is>
      </c>
      <c r="B36" s="7" t="n">
        <v>29</v>
      </c>
      <c r="C36" s="2" t="inlineStr">
        <is>
          <t>Sentry Team base</t>
        </is>
      </c>
      <c r="D36" s="2" t="inlineStr"/>
    </row>
    <row r="37">
      <c r="A37" s="2" t="inlineStr">
        <is>
          <t>DATADOG_HOSTS</t>
        </is>
      </c>
      <c r="B37" s="5" t="n">
        <v>5</v>
      </c>
      <c r="C37" s="2" t="inlineStr">
        <is>
          <t>Hosts Datadog</t>
        </is>
      </c>
      <c r="D37" s="2" t="inlineStr"/>
    </row>
    <row r="38">
      <c r="A38" s="2" t="inlineStr">
        <is>
          <t>DATADOG_USD_PER_HOST</t>
        </is>
      </c>
      <c r="B38" s="6" t="n">
        <v>15</v>
      </c>
      <c r="C38" s="2" t="inlineStr">
        <is>
          <t>USD/host/mês (Infra Pro anual)</t>
        </is>
      </c>
      <c r="D38" s="2" t="inlineStr"/>
    </row>
    <row r="39">
      <c r="A39" s="2" t="inlineStr">
        <is>
          <t>ONEPASSWORD_USERS</t>
        </is>
      </c>
      <c r="B39" s="5" t="n">
        <v>10</v>
      </c>
      <c r="C39" s="2" t="inlineStr">
        <is>
          <t>Usuários 1Password</t>
        </is>
      </c>
      <c r="D39" s="2" t="inlineStr"/>
    </row>
    <row r="40">
      <c r="A40" s="2" t="inlineStr">
        <is>
          <t>ONEPASSWORD_USD_PER_USER</t>
        </is>
      </c>
      <c r="B40" s="6" t="n">
        <v>7.99</v>
      </c>
      <c r="C40" s="2" t="inlineStr">
        <is>
          <t>USD/usuário/mês (anual)</t>
        </is>
      </c>
      <c r="D40" s="2" t="inlineStr"/>
    </row>
    <row r="41">
      <c r="A41" s="2" t="inlineStr">
        <is>
          <t>FIGMA_FULL_SEATS</t>
        </is>
      </c>
      <c r="B41" s="5" t="n">
        <v>3</v>
      </c>
      <c r="C41" s="2" t="inlineStr">
        <is>
          <t>Figma Full seats</t>
        </is>
      </c>
      <c r="D41" s="2" t="inlineStr"/>
    </row>
    <row r="42">
      <c r="A42" s="2" t="inlineStr">
        <is>
          <t>FIGMA_USD_PER_FULL_SEAT</t>
        </is>
      </c>
      <c r="B42" s="6" t="n">
        <v>16</v>
      </c>
      <c r="C42" s="2" t="inlineStr">
        <is>
          <t>USD/full seat/mês</t>
        </is>
      </c>
      <c r="D42" s="2" t="inlineStr"/>
    </row>
    <row r="43">
      <c r="A43" s="2" t="inlineStr">
        <is>
          <t>LOCOFY_MONTHLY_EQ</t>
        </is>
      </c>
      <c r="B43" s="7" t="n">
        <v>33.25</v>
      </c>
      <c r="C43" s="2" t="inlineStr">
        <is>
          <t>Locofy Starter (média mensal; anual 399)</t>
        </is>
      </c>
      <c r="D43" s="2" t="inlineStr"/>
    </row>
    <row r="44">
      <c r="A44" s="2" t="inlineStr">
        <is>
          <t>COPILOT_BUSINESS_USERS</t>
        </is>
      </c>
      <c r="B44" s="5" t="n">
        <v>8</v>
      </c>
      <c r="C44" s="2" t="inlineStr">
        <is>
          <t>Copilot Business users</t>
        </is>
      </c>
      <c r="D44" s="2" t="inlineStr"/>
    </row>
    <row r="45">
      <c r="A45" s="2" t="inlineStr">
        <is>
          <t>COPILOT_BUSINESS_USD</t>
        </is>
      </c>
      <c r="B45" s="6" t="n">
        <v>19</v>
      </c>
      <c r="C45" s="2" t="inlineStr">
        <is>
          <t>USD/user/mês</t>
        </is>
      </c>
      <c r="D45" s="2" t="inlineStr"/>
    </row>
    <row r="46">
      <c r="A46" s="2" t="inlineStr">
        <is>
          <t>CURSOR_TEAMS_USERS</t>
        </is>
      </c>
      <c r="B46" s="5" t="n">
        <v>0</v>
      </c>
      <c r="C46" s="2" t="inlineStr">
        <is>
          <t>Cursor Teams users</t>
        </is>
      </c>
      <c r="D46" s="2" t="inlineStr"/>
    </row>
    <row r="47">
      <c r="A47" s="2" t="inlineStr">
        <is>
          <t>CURSOR_TEAMS_USD</t>
        </is>
      </c>
      <c r="B47" s="6" t="n">
        <v>40</v>
      </c>
      <c r="C47" s="2" t="inlineStr">
        <is>
          <t>USD/user/mês</t>
        </is>
      </c>
      <c r="D47" s="2" t="inlineStr"/>
    </row>
    <row r="48">
      <c r="A48" s="2" t="inlineStr">
        <is>
          <t>OPENAI_INPUT_MTOK</t>
        </is>
      </c>
      <c r="B48" s="5" t="n">
        <v>100</v>
      </c>
      <c r="C48" s="2" t="inlineStr">
        <is>
          <t>OpenAI input tokens (milhões)/mês</t>
        </is>
      </c>
      <c r="D48" s="2" t="inlineStr"/>
    </row>
    <row r="49">
      <c r="A49" s="2" t="inlineStr">
        <is>
          <t>OPENAI_OUTPUT_MTOK</t>
        </is>
      </c>
      <c r="B49" s="5" t="n">
        <v>20</v>
      </c>
      <c r="C49" s="2" t="inlineStr">
        <is>
          <t>OpenAI output tokens (milhões)/mês</t>
        </is>
      </c>
      <c r="D49" s="2" t="inlineStr"/>
    </row>
    <row r="50">
      <c r="A50" s="2" t="inlineStr">
        <is>
          <t>OPENAI_INPUT_USD_PER_MTOK</t>
        </is>
      </c>
      <c r="B50" s="6" t="n">
        <v>1.75</v>
      </c>
      <c r="C50" s="2" t="inlineStr">
        <is>
          <t>USD/MTok input (GPT-5.2)</t>
        </is>
      </c>
      <c r="D50" s="2" t="inlineStr"/>
    </row>
    <row r="51">
      <c r="A51" s="2" t="inlineStr">
        <is>
          <t>OPENAI_OUTPUT_USD_PER_MTOK</t>
        </is>
      </c>
      <c r="B51" s="6" t="n">
        <v>14</v>
      </c>
      <c r="C51" s="2" t="inlineStr">
        <is>
          <t>USD/MTok output (GPT-5.2)</t>
        </is>
      </c>
      <c r="D51" s="2" t="inlineStr"/>
    </row>
    <row r="52">
      <c r="A52" s="2" t="inlineStr">
        <is>
          <t>CLAUDE_INPUT_MTOK</t>
        </is>
      </c>
      <c r="B52" s="5" t="n">
        <v>0</v>
      </c>
      <c r="C52" s="2" t="inlineStr">
        <is>
          <t>Claude input tokens (milhões)/mês</t>
        </is>
      </c>
      <c r="D52" s="2" t="inlineStr"/>
    </row>
    <row r="53">
      <c r="A53" s="2" t="inlineStr">
        <is>
          <t>CLAUDE_OUTPUT_MTOK</t>
        </is>
      </c>
      <c r="B53" s="5" t="n">
        <v>0</v>
      </c>
      <c r="C53" s="2" t="inlineStr">
        <is>
          <t>Claude output tokens (milhões)/mês</t>
        </is>
      </c>
      <c r="D53" s="2" t="inlineStr"/>
    </row>
    <row r="54">
      <c r="A54" s="2" t="inlineStr">
        <is>
          <t>CLAUDE_INPUT_USD_PER_MTOK</t>
        </is>
      </c>
      <c r="B54" s="6" t="n">
        <v>3</v>
      </c>
      <c r="C54" s="2" t="inlineStr">
        <is>
          <t>USD/MTok input (Sonnet)</t>
        </is>
      </c>
      <c r="D54" s="2" t="inlineStr"/>
    </row>
    <row r="55">
      <c r="A55" s="2" t="inlineStr">
        <is>
          <t>CLAUDE_OUTPUT_USD_PER_MTOK</t>
        </is>
      </c>
      <c r="B55" s="6" t="n">
        <v>15</v>
      </c>
      <c r="C55" s="2" t="inlineStr">
        <is>
          <t>USD/MTok output (Sonnet)</t>
        </is>
      </c>
      <c r="D55" s="2" t="inlineStr"/>
    </row>
    <row r="56">
      <c r="A56" s="2" t="inlineStr">
        <is>
          <t>APIFY_PLAN</t>
        </is>
      </c>
      <c r="B56" s="6" t="n">
        <v>29</v>
      </c>
      <c r="C56" s="2" t="inlineStr">
        <is>
          <t>Apify Starter base</t>
        </is>
      </c>
      <c r="D56" s="2" t="inlineStr"/>
    </row>
    <row r="57">
      <c r="A57" s="2" t="inlineStr">
        <is>
          <t>APIFY_EXTRA_USAGE</t>
        </is>
      </c>
      <c r="B57" s="7" t="n">
        <v>30</v>
      </c>
      <c r="C57" s="2" t="inlineStr">
        <is>
          <t>Apify uso extra (compute/proxy)</t>
        </is>
      </c>
      <c r="D57" s="2" t="inlineStr"/>
    </row>
    <row r="58">
      <c r="A58" s="2" t="inlineStr">
        <is>
          <t>SEMGREP_CONTRIBUTORS</t>
        </is>
      </c>
      <c r="B58" s="7" t="n">
        <v>0</v>
      </c>
      <c r="C58" s="2" t="inlineStr">
        <is>
          <t>Semgrep contributors pagos</t>
        </is>
      </c>
      <c r="D58" s="2" t="inlineStr"/>
    </row>
    <row r="59">
      <c r="A59" s="2" t="inlineStr">
        <is>
          <t>SEMGREP_USD_PER_CONTRIB</t>
        </is>
      </c>
      <c r="B59" s="6" t="n">
        <v>40</v>
      </c>
      <c r="C59" s="2" t="inlineStr">
        <is>
          <t>USD/contributor/mês (Teams)</t>
        </is>
      </c>
      <c r="D59" s="2" t="inlineStr"/>
    </row>
    <row r="63">
      <c r="A63" s="8" t="inlineStr">
        <is>
          <t>Costs</t>
        </is>
      </c>
    </row>
    <row r="64">
      <c r="A64" s="1" t="inlineStr">
        <is>
          <t>ToolKey</t>
        </is>
      </c>
      <c r="B64" s="1" t="inlineStr">
        <is>
          <t>MonthlyUSD</t>
        </is>
      </c>
      <c r="C64" s="1" t="inlineStr">
        <is>
          <t>Como calcula (resumo)</t>
        </is>
      </c>
    </row>
    <row r="65">
      <c r="A65" s="2" t="inlineStr">
        <is>
          <t>github_team</t>
        </is>
      </c>
      <c r="B65" s="3">
        <f>$B$4*4</f>
        <v/>
      </c>
      <c r="C65" s="2" t="inlineStr">
        <is>
          <t>Team $4/user/mo (promo first 12 mo)</t>
        </is>
      </c>
    </row>
    <row r="66">
      <c r="A66" s="2" t="inlineStr">
        <is>
          <t>github_actions_minutos</t>
        </is>
      </c>
      <c r="B66" s="3">
        <f>$B$5*$B$6</f>
        <v/>
      </c>
      <c r="C66" s="2" t="inlineStr">
        <is>
          <t>Minutes * rate (set your real runner rate)</t>
        </is>
      </c>
    </row>
    <row r="67">
      <c r="A67" s="2" t="inlineStr">
        <is>
          <t>flow_recorder</t>
        </is>
      </c>
      <c r="B67" s="3">
        <f>$B$8</f>
        <v/>
      </c>
      <c r="C67" s="2" t="inlineStr">
        <is>
          <t>Plano escolhido</t>
        </is>
      </c>
    </row>
    <row r="68">
      <c r="A68" s="2" t="inlineStr">
        <is>
          <t>fiddler_everywhere</t>
        </is>
      </c>
      <c r="B68" s="3">
        <f>$B$9*$B$10</f>
        <v/>
      </c>
      <c r="C68" s="2" t="inlineStr">
        <is>
          <t>Usuários * preço</t>
        </is>
      </c>
    </row>
    <row r="69">
      <c r="A69" s="2" t="inlineStr">
        <is>
          <t>postman_colecoes_schema</t>
        </is>
      </c>
      <c r="B69" s="3">
        <f>$B$11*$B$12</f>
        <v/>
      </c>
      <c r="C69" s="2" t="inlineStr">
        <is>
          <t>Usuários * preço</t>
        </is>
      </c>
    </row>
    <row r="70">
      <c r="A70" s="2" t="inlineStr">
        <is>
          <t>stoplight_openapi_contract_first</t>
        </is>
      </c>
      <c r="B70" s="3">
        <f>$B$13+$B$15*$B$16</f>
        <v/>
      </c>
      <c r="C70" s="2" t="inlineStr">
        <is>
          <t>Plano base + extras</t>
        </is>
      </c>
    </row>
    <row r="71">
      <c r="A71" s="2" t="inlineStr">
        <is>
          <t>supabase_postgres_auth_storage_edge</t>
        </is>
      </c>
      <c r="B71" s="3">
        <f>$B$17+$B$18*$B$19+$B$20</f>
        <v/>
      </c>
      <c r="C71" s="2" t="inlineStr">
        <is>
          <t>Fee + compute/projeto + buffer</t>
        </is>
      </c>
    </row>
    <row r="72">
      <c r="A72" s="2" t="inlineStr">
        <is>
          <t>temporal_cloud_state_machine_de_runs</t>
        </is>
      </c>
      <c r="B72" s="3">
        <f>$B$21+($B$22/1000000)*$B$23</f>
        <v/>
      </c>
      <c r="C72" s="2" t="inlineStr">
        <is>
          <t>Plan fee + actions</t>
        </is>
      </c>
    </row>
    <row r="73">
      <c r="A73" s="2" t="inlineStr">
        <is>
          <t>upstash_redis</t>
        </is>
      </c>
      <c r="B73" s="3">
        <f>$B$24+$B$25</f>
        <v/>
      </c>
      <c r="C73" s="2" t="inlineStr">
        <is>
          <t>Fixed + ProdPack</t>
        </is>
      </c>
    </row>
    <row r="74">
      <c r="A74" s="2" t="inlineStr">
        <is>
          <t>upstash_qstash_webhooks_retries</t>
        </is>
      </c>
      <c r="B74" s="3">
        <f>$B$28+($B$26/100000)*$B$27</f>
        <v/>
      </c>
      <c r="C74" s="2" t="inlineStr">
        <is>
          <t>Fixed + msgs usage</t>
        </is>
      </c>
    </row>
    <row r="75">
      <c r="A75" s="2" t="inlineStr">
        <is>
          <t>cloudflare_workers_opcional</t>
        </is>
      </c>
      <c r="B75" s="3">
        <f>$B$29+MAX(0,($B$30-10))*$B$31</f>
        <v/>
      </c>
      <c r="C75" s="2" t="inlineStr">
        <is>
          <t>Base + overage (&gt;10M incl.)</t>
        </is>
      </c>
    </row>
    <row r="76">
      <c r="A76" s="2" t="inlineStr">
        <is>
          <t>chromatic_storybook_visual_diff</t>
        </is>
      </c>
      <c r="B76" s="3">
        <f>$B$32+$B$33*$B$34</f>
        <v/>
      </c>
      <c r="C76" s="2" t="inlineStr">
        <is>
          <t>Plano + overage snapshots</t>
        </is>
      </c>
    </row>
    <row r="77">
      <c r="A77" s="2" t="inlineStr">
        <is>
          <t>applitools_visual_ai</t>
        </is>
      </c>
      <c r="B77" s="3">
        <f>$B$35</f>
        <v/>
      </c>
      <c r="C77" s="2" t="inlineStr">
        <is>
          <t>Média mensal (contrato anual)</t>
        </is>
      </c>
    </row>
    <row r="78">
      <c r="A78" s="2" t="inlineStr">
        <is>
          <t>sentry</t>
        </is>
      </c>
      <c r="B78" s="3">
        <f>$B$36</f>
        <v/>
      </c>
      <c r="C78" s="2" t="inlineStr">
        <is>
          <t>Base (overage não incluso)</t>
        </is>
      </c>
    </row>
    <row r="79">
      <c r="A79" s="2" t="inlineStr">
        <is>
          <t>datadog_infra_apm</t>
        </is>
      </c>
      <c r="B79" s="3">
        <f>$B$37*$B$38</f>
        <v/>
      </c>
      <c r="C79" s="2" t="inlineStr">
        <is>
          <t>Hosts * rate (infra)</t>
        </is>
      </c>
    </row>
    <row r="80">
      <c r="A80" s="2" t="inlineStr">
        <is>
          <t>1password_business_secrets_manager</t>
        </is>
      </c>
      <c r="B80" s="3">
        <f>$B$39*$B$40</f>
        <v/>
      </c>
      <c r="C80" s="2" t="inlineStr">
        <is>
          <t>Users * rate (anual)</t>
        </is>
      </c>
    </row>
    <row r="81">
      <c r="A81" s="2" t="inlineStr">
        <is>
          <t>figma</t>
        </is>
      </c>
      <c r="B81" s="3">
        <f>$B$41*$B$42</f>
        <v/>
      </c>
      <c r="C81" s="2" t="inlineStr">
        <is>
          <t>Full seats * rate</t>
        </is>
      </c>
    </row>
    <row r="82">
      <c r="A82" s="2" t="inlineStr">
        <is>
          <t>locofy_figma_react</t>
        </is>
      </c>
      <c r="B82" s="3">
        <f>$B$43</f>
        <v/>
      </c>
      <c r="C82" s="2" t="inlineStr">
        <is>
          <t>Média mensal (anual)</t>
        </is>
      </c>
    </row>
    <row r="83">
      <c r="A83" s="2" t="inlineStr">
        <is>
          <t>github_copilot_business</t>
        </is>
      </c>
      <c r="B83" s="3">
        <f>$B$44*$B$45</f>
        <v/>
      </c>
      <c r="C83" s="2" t="inlineStr">
        <is>
          <t>Seats * rate</t>
        </is>
      </c>
    </row>
    <row r="84">
      <c r="A84" s="2" t="inlineStr">
        <is>
          <t>cursor_teams_opcional</t>
        </is>
      </c>
      <c r="B84" s="3">
        <f>$B$46*$B$47</f>
        <v/>
      </c>
      <c r="C84" s="2" t="inlineStr">
        <is>
          <t>Seats * rate</t>
        </is>
      </c>
    </row>
    <row r="85">
      <c r="A85" s="2" t="inlineStr">
        <is>
          <t>openai_api_byok</t>
        </is>
      </c>
      <c r="B85" s="3">
        <f>$B$48*$B$50+$B$49*$B$51</f>
        <v/>
      </c>
      <c r="C85" s="2" t="inlineStr">
        <is>
          <t>Tokens input+output</t>
        </is>
      </c>
    </row>
    <row r="86">
      <c r="A86" s="2" t="inlineStr">
        <is>
          <t>anthropic_claude_api_byok</t>
        </is>
      </c>
      <c r="B86" s="3">
        <f>$B$52*$B$54+$B$53*$B$55</f>
        <v/>
      </c>
      <c r="C86" s="2" t="inlineStr">
        <is>
          <t>Tokens input+output</t>
        </is>
      </c>
    </row>
    <row r="87">
      <c r="A87" s="2" t="inlineStr">
        <is>
          <t>apify_scraping_de_docs_ui_publica</t>
        </is>
      </c>
      <c r="B87" s="3">
        <f>$B$56+$B$57</f>
        <v/>
      </c>
      <c r="C87" s="2" t="inlineStr">
        <is>
          <t>Plano base + extra</t>
        </is>
      </c>
    </row>
    <row r="88">
      <c r="A88" s="2" t="inlineStr">
        <is>
          <t>semgrep_sast</t>
        </is>
      </c>
      <c r="B88" s="3">
        <f>$B$58*$B$59</f>
        <v/>
      </c>
      <c r="C88" s="2" t="inlineStr">
        <is>
          <t>Contributors * rate</t>
        </is>
      </c>
    </row>
    <row r="89">
      <c r="A89" s="2" t="inlineStr">
        <is>
          <t>github_secret_protection</t>
        </is>
      </c>
      <c r="B89" s="3">
        <f>$B$7*19</f>
        <v/>
      </c>
      <c r="C89" s="2" t="inlineStr">
        <is>
          <t>$19/active committer</t>
        </is>
      </c>
    </row>
    <row r="90">
      <c r="A90" s="2" t="inlineStr">
        <is>
          <t>github_code_security</t>
        </is>
      </c>
      <c r="B90" s="3">
        <f>$B$7*30</f>
        <v/>
      </c>
      <c r="C90" s="2" t="inlineStr">
        <is>
          <t>$30/active committer</t>
        </is>
      </c>
    </row>
    <row r="91">
      <c r="A91" s="2" t="inlineStr">
        <is>
          <t>lovable_provider_assistido</t>
        </is>
      </c>
      <c r="B91" s="3" t="n">
        <v>0</v>
      </c>
      <c r="C91" s="2" t="inlineStr">
        <is>
          <t>Depende do plano/credits; set manual se usar</t>
        </is>
      </c>
    </row>
    <row r="92">
      <c r="A92" s="2" t="inlineStr">
        <is>
          <t>cloudflare_workers_opcional</t>
        </is>
      </c>
      <c r="B92" s="3">
        <f>$B$29+MAX(0,($B$30-10))*$B$31</f>
        <v/>
      </c>
      <c r="C92" s="2" t="inlineStr">
        <is>
          <t>Base + overage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9" t="inlineStr">
        <is>
          <t>Resumo de custos (modelado)</t>
        </is>
      </c>
    </row>
    <row r="3">
      <c r="A3" s="10" t="inlineStr">
        <is>
          <t>Total mensal estimado (USD)</t>
        </is>
      </c>
      <c r="B3" s="11">
        <f>SUM('Planilha de Compra'!$K$2:$K$47)</f>
        <v/>
      </c>
    </row>
    <row r="5">
      <c r="A5" s="1" t="inlineStr">
        <is>
          <t>Categoria</t>
        </is>
      </c>
      <c r="B5" s="1" t="inlineStr">
        <is>
          <t>Custo mensal (USD)</t>
        </is>
      </c>
    </row>
    <row r="6">
      <c r="A6" s="2" t="inlineStr">
        <is>
          <t>AI Dev</t>
        </is>
      </c>
      <c r="B6" s="3">
        <f>SUMIF('Planilha de Compra'!$B$2:$B$47,A6,'Planilha de Compra'!$K$2:$K$47)</f>
        <v/>
      </c>
    </row>
    <row r="7">
      <c r="A7" s="2" t="inlineStr">
        <is>
          <t>Acessibilidade</t>
        </is>
      </c>
      <c r="B7" s="3">
        <f>SUMIF('Planilha de Compra'!$B$2:$B$47,A7,'Planilha de Compra'!$K$2:$K$47)</f>
        <v/>
      </c>
    </row>
    <row r="8">
      <c r="A8" s="2" t="inlineStr">
        <is>
          <t>Backend/Fonte da Verdade</t>
        </is>
      </c>
      <c r="B8" s="3">
        <f>SUMIF('Planilha de Compra'!$B$2:$B$47,A8,'Planilha de Compra'!$K$2:$K$47)</f>
        <v/>
      </c>
    </row>
    <row r="9">
      <c r="A9" s="2" t="inlineStr">
        <is>
          <t>CAPTURE HAR/HTTP</t>
        </is>
      </c>
      <c r="B9" s="3">
        <f>SUMIF('Planilha de Compra'!$B$2:$B$47,A9,'Planilha de Compra'!$K$2:$K$47)</f>
        <v/>
      </c>
    </row>
    <row r="10">
      <c r="A10" s="2" t="inlineStr">
        <is>
          <t>CAPTURE UI</t>
        </is>
      </c>
      <c r="B10" s="3">
        <f>SUMIF('Planilha de Compra'!$B$2:$B$47,A10,'Planilha de Compra'!$K$2:$K$47)</f>
        <v/>
      </c>
    </row>
    <row r="11">
      <c r="A11" s="2" t="inlineStr">
        <is>
          <t>CI/CD</t>
        </is>
      </c>
      <c r="B11" s="3">
        <f>SUMIF('Planilha de Compra'!$B$2:$B$47,A11,'Planilha de Compra'!$K$2:$K$47)</f>
        <v/>
      </c>
    </row>
    <row r="12">
      <c r="A12" s="2" t="inlineStr">
        <is>
          <t>Contrato API</t>
        </is>
      </c>
      <c r="B12" s="3">
        <f>SUMIF('Planilha de Compra'!$B$2:$B$47,A12,'Planilha de Compra'!$K$2:$K$47)</f>
        <v/>
      </c>
    </row>
    <row r="13">
      <c r="A13" s="2" t="inlineStr">
        <is>
          <t>Design</t>
        </is>
      </c>
      <c r="B13" s="3">
        <f>SUMIF('Planilha de Compra'!$B$2:$B$47,A13,'Planilha de Compra'!$K$2:$K$47)</f>
        <v/>
      </c>
    </row>
    <row r="14">
      <c r="A14" s="2" t="inlineStr">
        <is>
          <t>Design→Código</t>
        </is>
      </c>
      <c r="B14" s="3">
        <f>SUMIF('Planilha de Compra'!$B$2:$B$47,A14,'Planilha de Compra'!$K$2:$K$47)</f>
        <v/>
      </c>
    </row>
    <row r="15">
      <c r="A15" s="2" t="inlineStr">
        <is>
          <t>EXTRACT CONFIG</t>
        </is>
      </c>
      <c r="B15" s="3">
        <f>SUMIF('Planilha de Compra'!$B$2:$B$47,A15,'Planilha de Compra'!$K$2:$K$47)</f>
        <v/>
      </c>
    </row>
    <row r="16">
      <c r="A16" s="2" t="inlineStr">
        <is>
          <t>Edge/Workers</t>
        </is>
      </c>
      <c r="B16" s="3">
        <f>SUMIF('Planilha de Compra'!$B$2:$B$47,A16,'Planilha de Compra'!$K$2:$K$47)</f>
        <v/>
      </c>
    </row>
    <row r="17">
      <c r="A17" s="2" t="inlineStr">
        <is>
          <t>Fila/Jobs</t>
        </is>
      </c>
      <c r="B17" s="3">
        <f>SUMIF('Planilha de Compra'!$B$2:$B$47,A17,'Planilha de Compra'!$K$2:$K$47)</f>
        <v/>
      </c>
    </row>
    <row r="18">
      <c r="A18" s="2" t="inlineStr">
        <is>
          <t>Fuzz/Contract test</t>
        </is>
      </c>
      <c r="B18" s="3">
        <f>SUMIF('Planilha de Compra'!$B$2:$B$47,A18,'Planilha de Compra'!$K$2:$K$47)</f>
        <v/>
      </c>
    </row>
    <row r="19">
      <c r="A19" s="2" t="inlineStr">
        <is>
          <t>Identity</t>
        </is>
      </c>
      <c r="B19" s="3">
        <f>SUMIF('Planilha de Compra'!$B$2:$B$47,A19,'Planilha de Compra'!$K$2:$K$47)</f>
        <v/>
      </c>
    </row>
    <row r="20">
      <c r="A20" s="2" t="inlineStr">
        <is>
          <t>LLM Runtime</t>
        </is>
      </c>
      <c r="B20" s="3">
        <f>SUMIF('Planilha de Compra'!$B$2:$B$47,A20,'Planilha de Compra'!$K$2:$K$47)</f>
        <v/>
      </c>
    </row>
    <row r="21">
      <c r="A21" s="2" t="inlineStr">
        <is>
          <t>Observabilidade</t>
        </is>
      </c>
      <c r="B21" s="3">
        <f>SUMIF('Planilha de Compra'!$B$2:$B$47,A21,'Planilha de Compra'!$K$2:$K$47)</f>
        <v/>
      </c>
    </row>
    <row r="22">
      <c r="A22" s="2" t="inlineStr">
        <is>
          <t>Operação</t>
        </is>
      </c>
      <c r="B22" s="3">
        <f>SUMIF('Planilha de Compra'!$B$2:$B$47,A22,'Planilha de Compra'!$K$2:$K$47)</f>
        <v/>
      </c>
    </row>
    <row r="23">
      <c r="A23" s="2" t="inlineStr">
        <is>
          <t>Orquestração</t>
        </is>
      </c>
      <c r="B23" s="3">
        <f>SUMIF('Planilha de Compra'!$B$2:$B$47,A23,'Planilha de Compra'!$K$2:$K$47)</f>
        <v/>
      </c>
    </row>
    <row r="24">
      <c r="A24" s="2" t="inlineStr">
        <is>
          <t>Parity Gate (cross-browser)</t>
        </is>
      </c>
      <c r="B24" s="3">
        <f>SUMIF('Planilha de Compra'!$B$2:$B$47,A24,'Planilha de Compra'!$K$2:$K$47)</f>
        <v/>
      </c>
    </row>
    <row r="25">
      <c r="A25" s="2" t="inlineStr">
        <is>
          <t>Parity Gate (visual)</t>
        </is>
      </c>
      <c r="B25" s="3">
        <f>SUMIF('Planilha de Compra'!$B$2:$B$47,A25,'Planilha de Compra'!$K$2:$K$47)</f>
        <v/>
      </c>
    </row>
    <row r="26">
      <c r="A26" s="2" t="inlineStr">
        <is>
          <t>Qualidade</t>
        </is>
      </c>
      <c r="B26" s="3">
        <f>SUMIF('Planilha de Compra'!$B$2:$B$47,A26,'Planilha de Compra'!$K$2:$K$47)</f>
        <v/>
      </c>
    </row>
    <row r="27">
      <c r="A27" s="2" t="inlineStr">
        <is>
          <t>Scraping estruturado</t>
        </is>
      </c>
      <c r="B27" s="3">
        <f>SUMIF('Planilha de Compra'!$B$2:$B$47,A27,'Planilha de Compra'!$K$2:$K$47)</f>
        <v/>
      </c>
    </row>
    <row r="28">
      <c r="A28" s="2" t="inlineStr">
        <is>
          <t>Secrets</t>
        </is>
      </c>
      <c r="B28" s="3">
        <f>SUMIF('Planilha de Compra'!$B$2:$B$47,A28,'Planilha de Compra'!$K$2:$K$47)</f>
        <v/>
      </c>
    </row>
    <row r="29">
      <c r="A29" s="2" t="inlineStr">
        <is>
          <t>Segurança App</t>
        </is>
      </c>
      <c r="B29" s="3">
        <f>SUMIF('Planilha de Compra'!$B$2:$B$47,A29,'Planilha de Compra'!$K$2:$K$47)</f>
        <v/>
      </c>
    </row>
    <row r="30">
      <c r="A30" s="2" t="inlineStr">
        <is>
          <t>Segurança CI</t>
        </is>
      </c>
      <c r="B30" s="3">
        <f>SUMIF('Planilha de Compra'!$B$2:$B$47,A30,'Planilha de Compra'!$K$2:$K$47)</f>
        <v/>
      </c>
    </row>
    <row r="31">
      <c r="A31" s="2" t="inlineStr">
        <is>
          <t>State Machines UI</t>
        </is>
      </c>
      <c r="B31" s="3">
        <f>SUMIF('Planilha de Compra'!$B$2:$B$47,A31,'Planilha de Compra'!$K$2:$K$47)</f>
        <v/>
      </c>
    </row>
    <row r="34">
      <c r="A34" s="12" t="inlineStr">
        <is>
          <t>Observação</t>
        </is>
      </c>
    </row>
    <row r="35">
      <c r="A35" s="2" t="inlineStr">
        <is>
          <t>Edite o sheet Assumptions_Custos (células amarelas) para refletir seu time/uso real. Total é uma estimativa.</t>
        </is>
      </c>
    </row>
  </sheetData>
  <mergeCells count="1">
    <mergeCell ref="A35:B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2026-02-19T19:12:56Z</dcterms:created>
  <dcterms:modified xmlns:dcterms="http://purl.org/dc/terms/" xmlns:xsi="http://www.w3.org/2001/XMLSchema-instance" xsi:type="dcterms:W3CDTF">2026-02-19T19:19:31Z</dcterms:modified>
</cp:coreProperties>
</file>